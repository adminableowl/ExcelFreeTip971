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\Mag\FreeTips\Tip971\"/>
    </mc:Choice>
  </mc:AlternateContent>
  <xr:revisionPtr revIDLastSave="0" documentId="13_ncr:1_{6CB46C0E-5540-4E4E-9AC4-C01519DA539A}" xr6:coauthVersionLast="47" xr6:coauthVersionMax="47" xr10:uidLastSave="{00000000-0000-0000-0000-000000000000}"/>
  <bookViews>
    <workbookView xWindow="-103" yWindow="-18617" windowWidth="33120" windowHeight="18120" tabRatio="801" activeTab="4" xr2:uid="{00000000-000D-0000-FFFF-FFFF00000000}"/>
  </bookViews>
  <sheets>
    <sheet name="Guide" sheetId="6" r:id="rId1"/>
    <sheet name="Params" sheetId="5" r:id="rId2"/>
    <sheet name="dVaryingRowsPQ" sheetId="7" r:id="rId3"/>
    <sheet name="dVaryRowsMacro" sheetId="12" r:id="rId4"/>
    <sheet name="dVaryRowsExcel" sheetId="11" r:id="rId5"/>
    <sheet name="dSameRowsPQ" sheetId="1" r:id="rId6"/>
    <sheet name="dSameRowsMacro" sheetId="9" r:id="rId7"/>
    <sheet name="dSameRowsExcel" sheetId="8" r:id="rId8"/>
  </sheets>
  <functionGroups builtInGroupCount="19"/>
  <definedNames>
    <definedName name="afbGuide">Guide!$A$1:$B$4</definedName>
    <definedName name="afbParams">Params!$A$1:$A$4</definedName>
    <definedName name="afbSheet" localSheetId="7">dSameRowsExcel!$K$11:$K$13</definedName>
    <definedName name="afbSheet" localSheetId="6">dSameRowsMacro!$K$11:$K$13</definedName>
    <definedName name="afbSheet" localSheetId="5">dSameRowsPQ!$K$11:$K$14</definedName>
    <definedName name="afbSheet" localSheetId="2">dVaryingRowsPQ!$K$11:$K$12</definedName>
    <definedName name="afbSheet" localSheetId="4">dVaryRowsExcel!$K$11:$K$13</definedName>
    <definedName name="afbSheet" localSheetId="3">dVaryRowsMacro!$K$11:$K$13</definedName>
    <definedName name="ExternalData_1" localSheetId="5" hidden="1">dSameRowsPQ!$M$14:$R$37</definedName>
    <definedName name="ExternalData_1" localSheetId="2" hidden="1">dVaryingRowsPQ!$M$14:$Q$37</definedName>
    <definedName name="gAppDescription">Guide!$C$6</definedName>
    <definedName name="gCreator">Guide!$C$10</definedName>
    <definedName name="gProcedures">Guide!$A$29</definedName>
    <definedName name="gPurpose">Guide!$C$7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Now">Params!$B$12</definedName>
    <definedName name="kOrgName">Params!$B$8</definedName>
    <definedName name="kVersion">Params!$B$7</definedName>
    <definedName name="_xlnm.Print_Area" localSheetId="7">dSameRowsExcel!$K$11:$T$14</definedName>
    <definedName name="_xlnm.Print_Area" localSheetId="6">dSameRowsMacro!$K$11:$S$14</definedName>
    <definedName name="_xlnm.Print_Area" localSheetId="5">dSameRowsPQ!$K$11:$S$14</definedName>
    <definedName name="_xlnm.Print_Area" localSheetId="2">dVaryingRowsPQ!$K$11:$R$14</definedName>
    <definedName name="_xlnm.Print_Area" localSheetId="4">dVaryRowsExcel!$K$11:$V$14</definedName>
    <definedName name="_xlnm.Print_Area" localSheetId="3">dVaryRowsMacro!$K$11:$S$14</definedName>
    <definedName name="_xlnm.Print_Titles" localSheetId="7">dSameRowsExcel!$K:$K,dSameRowsExcel!$11:$14</definedName>
    <definedName name="_xlnm.Print_Titles" localSheetId="6">dSameRowsMacro!$K:$K,dSameRowsMacro!$11:$14</definedName>
    <definedName name="_xlnm.Print_Titles" localSheetId="5">dSameRowsPQ!$K:$K,dSameRowsPQ!$11:$14</definedName>
    <definedName name="_xlnm.Print_Titles" localSheetId="2">dVaryingRowsPQ!$K:$K,dVaryingRowsPQ!$11:$14</definedName>
    <definedName name="_xlnm.Print_Titles" localSheetId="4">dVaryRowsExcel!$K:$K,dVaryRowsExcel!$11:$14</definedName>
    <definedName name="_xlnm.Print_Titles" localSheetId="3">dVaryRowsMacro!$K:$K,dVaryRowsMacro!$11:$14</definedName>
    <definedName name="_xlnm.Print_Titles" localSheetId="0">Guide!$1:$4</definedName>
    <definedName name="_xlnm.Print_Titles" localSheetId="1">Params!$1:$4</definedName>
    <definedName name="ttSheet" localSheetId="7">dSameRowsExcel!$K$14:$T$14</definedName>
    <definedName name="ttSheet" localSheetId="6">dSameRowsMacro!$K$14:$S$14</definedName>
    <definedName name="ttSheet" localSheetId="5">dSameRowsPQ!$K$14:$S$14</definedName>
    <definedName name="ttSheet" localSheetId="2">dVaryingRowsPQ!$K$14:$R$14</definedName>
    <definedName name="ttSheet" localSheetId="4">dVaryRowsExcel!$K$14:$V$14</definedName>
    <definedName name="ttSheet" localSheetId="3">dVaryRowsMacro!$K$14:$S$14</definedName>
    <definedName name="ttSheet" localSheetId="0">Guide!$A$4:$D$4</definedName>
    <definedName name="ttSheet" localSheetId="1">Params!$A$4:$B$4</definedName>
  </definedNames>
  <calcPr calcId="191029" calcMode="autoNoTable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5" i="8" l="1" a="1"/>
  <c r="V15" i="8" s="1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M37" i="11"/>
  <c r="M36" i="11" l="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15" i="8"/>
  <c r="B12" i="5"/>
  <c r="A2" i="5"/>
  <c r="A2" i="6"/>
  <c r="A3" i="6"/>
  <c r="C8" i="6"/>
  <c r="C9" i="6"/>
  <c r="J81" i="11" a="1"/>
  <c r="J55" i="11" a="1"/>
  <c r="J108" i="11" a="1"/>
  <c r="J134" i="11" a="1"/>
  <c r="J131" i="11" a="1"/>
  <c r="J113" i="11" a="1"/>
  <c r="J73" i="11" a="1"/>
  <c r="J23" i="11" a="1"/>
  <c r="J110" i="11" a="1"/>
  <c r="J65" i="11" a="1"/>
  <c r="J146" i="11" a="1"/>
  <c r="J33" i="11" a="1"/>
  <c r="J26" i="11" a="1"/>
  <c r="J82" i="11" a="1"/>
  <c r="J84" i="11" a="1"/>
  <c r="J35" i="11" a="1"/>
  <c r="J74" i="11" a="1"/>
  <c r="J48" i="11" a="1"/>
  <c r="J111" i="11" a="1"/>
  <c r="J40" i="11" a="1"/>
  <c r="J53" i="11" a="1"/>
  <c r="J122" i="11" a="1"/>
  <c r="J119" i="11" a="1"/>
  <c r="J31" i="11" a="1"/>
  <c r="J15" i="11" a="1"/>
  <c r="J27" i="11" a="1"/>
  <c r="J52" i="11" a="1"/>
  <c r="J124" i="11" a="1"/>
  <c r="J138" i="11" a="1"/>
  <c r="J102" i="11" a="1"/>
  <c r="J104" i="11" a="1"/>
  <c r="J29" i="11" a="1"/>
  <c r="J125" i="11" a="1"/>
  <c r="J87" i="11" a="1"/>
  <c r="J92" i="11" a="1"/>
  <c r="J136" i="11" a="1"/>
  <c r="J132" i="11" a="1"/>
  <c r="J37" i="11" a="1"/>
  <c r="J18" i="11" a="1"/>
  <c r="J43" i="11" a="1"/>
  <c r="J16" i="11" a="1"/>
  <c r="J46" i="11" a="1"/>
  <c r="J141" i="11" a="1"/>
  <c r="J139" i="11" a="1"/>
  <c r="J24" i="11" a="1"/>
  <c r="J38" i="11" a="1"/>
  <c r="J39" i="11" a="1"/>
  <c r="J80" i="11" a="1"/>
  <c r="J72" i="11" a="1"/>
  <c r="J22" i="11" a="1"/>
  <c r="J45" i="11" a="1"/>
  <c r="J114" i="11" a="1"/>
  <c r="J127" i="11" a="1"/>
  <c r="J41" i="11" a="1"/>
  <c r="J17" i="11" a="1"/>
  <c r="J61" i="11" a="1"/>
  <c r="J34" i="11" a="1"/>
  <c r="J148" i="11" a="1"/>
  <c r="J99" i="11" a="1"/>
  <c r="J101" i="11" a="1"/>
  <c r="J25" i="11" a="1"/>
  <c r="J97" i="11" a="1"/>
  <c r="J63" i="11" a="1"/>
  <c r="J93" i="11" a="1"/>
  <c r="J86" i="11" a="1"/>
  <c r="J58" i="11" a="1"/>
  <c r="J51" i="11" a="1"/>
  <c r="J150" i="11" a="1"/>
  <c r="J42" i="11" a="1"/>
  <c r="J76" i="11" a="1"/>
  <c r="J94" i="11" a="1"/>
  <c r="J123" i="11" a="1"/>
  <c r="J21" i="11" a="1"/>
  <c r="J147" i="11" a="1"/>
  <c r="J117" i="11" a="1"/>
  <c r="J100" i="11" a="1"/>
  <c r="J62" i="11" a="1"/>
  <c r="J75" i="11" a="1"/>
  <c r="J140" i="11" a="1"/>
  <c r="J32" i="11" a="1"/>
  <c r="J129" i="11" a="1"/>
  <c r="J36" i="11" a="1"/>
  <c r="J85" i="11" a="1"/>
  <c r="J145" i="11" a="1"/>
  <c r="J50" i="11" a="1"/>
  <c r="J59" i="11" a="1"/>
  <c r="J95" i="11" a="1"/>
  <c r="J144" i="11" a="1"/>
  <c r="J120" i="11" a="1"/>
  <c r="J49" i="11" a="1"/>
  <c r="J91" i="11" a="1"/>
  <c r="J54" i="11" a="1"/>
  <c r="J88" i="11" a="1"/>
  <c r="J47" i="11" a="1"/>
  <c r="J112" i="11" a="1"/>
  <c r="J20" i="11" a="1"/>
  <c r="J130" i="11" a="1"/>
  <c r="J126" i="11" a="1"/>
  <c r="J71" i="11" a="1"/>
  <c r="J78" i="11" a="1"/>
  <c r="J60" i="11" a="1"/>
  <c r="J66" i="11" a="1"/>
  <c r="J90" i="11" a="1"/>
  <c r="J19" i="11" a="1"/>
  <c r="J137" i="11" a="1"/>
  <c r="J64" i="11" a="1"/>
  <c r="J56" i="11" a="1"/>
  <c r="J79" i="11" a="1"/>
  <c r="J116" i="11" a="1"/>
  <c r="J143" i="11" a="1"/>
  <c r="J135" i="11" a="1"/>
  <c r="J70" i="11" a="1"/>
  <c r="J103" i="11" a="1"/>
  <c r="J44" i="11" a="1"/>
  <c r="J96" i="11" a="1"/>
  <c r="J128" i="11" a="1"/>
  <c r="J28" i="11" a="1"/>
  <c r="J106" i="11" a="1"/>
  <c r="J68" i="11" a="1"/>
  <c r="J121" i="11" a="1"/>
  <c r="J67" i="11" a="1"/>
  <c r="J77" i="11" a="1"/>
  <c r="J89" i="11" a="1"/>
  <c r="J30" i="11" a="1"/>
  <c r="J57" i="11" a="1"/>
  <c r="J98" i="11" a="1"/>
  <c r="J149" i="11" a="1"/>
  <c r="J105" i="11" a="1"/>
  <c r="J142" i="11" a="1"/>
  <c r="J118" i="11" a="1"/>
  <c r="J107" i="11" a="1"/>
  <c r="J83" i="11" a="1"/>
  <c r="J133" i="11" a="1"/>
  <c r="J115" i="11" a="1"/>
  <c r="J109" i="11" a="1"/>
  <c r="J69" i="11" a="1"/>
  <c r="R31" i="8" l="1" a="1"/>
  <c r="R31" i="8" s="1"/>
  <c r="O31" i="8" a="1"/>
  <c r="O31" i="8" s="1"/>
  <c r="P31" i="8" a="1"/>
  <c r="P31" i="8" s="1"/>
  <c r="N31" i="8" a="1"/>
  <c r="N31" i="8" s="1"/>
  <c r="S31" i="8" a="1"/>
  <c r="S31" i="8" s="1"/>
  <c r="R30" i="8" a="1"/>
  <c r="R30" i="8" s="1"/>
  <c r="P30" i="8" a="1"/>
  <c r="P30" i="8" s="1"/>
  <c r="O30" i="8" a="1"/>
  <c r="O30" i="8" s="1"/>
  <c r="N30" i="8" a="1"/>
  <c r="N30" i="8" s="1"/>
  <c r="S30" i="8" a="1"/>
  <c r="S30" i="8" s="1"/>
  <c r="R18" i="8" a="1"/>
  <c r="R18" i="8" s="1"/>
  <c r="P18" i="8" a="1"/>
  <c r="P18" i="8" s="1"/>
  <c r="O18" i="8" a="1"/>
  <c r="O18" i="8" s="1"/>
  <c r="N18" i="8" a="1"/>
  <c r="N18" i="8" s="1"/>
  <c r="S18" i="8" a="1"/>
  <c r="S18" i="8" s="1"/>
  <c r="O29" i="8" a="1"/>
  <c r="O29" i="8" s="1"/>
  <c r="R29" i="8" a="1"/>
  <c r="R29" i="8" s="1"/>
  <c r="P29" i="8" a="1"/>
  <c r="P29" i="8" s="1"/>
  <c r="N29" i="8" a="1"/>
  <c r="N29" i="8" s="1"/>
  <c r="S29" i="8" a="1"/>
  <c r="S29" i="8" s="1"/>
  <c r="O17" i="8" a="1"/>
  <c r="O17" i="8" s="1"/>
  <c r="R17" i="8" a="1"/>
  <c r="R17" i="8" s="1"/>
  <c r="P17" i="8" a="1"/>
  <c r="P17" i="8" s="1"/>
  <c r="N17" i="8" a="1"/>
  <c r="N17" i="8" s="1"/>
  <c r="S17" i="8" a="1"/>
  <c r="S17" i="8" s="1"/>
  <c r="S28" i="8" a="1"/>
  <c r="S28" i="8" s="1"/>
  <c r="R28" i="8" a="1"/>
  <c r="R28" i="8" s="1"/>
  <c r="P28" i="8" a="1"/>
  <c r="P28" i="8" s="1"/>
  <c r="N28" i="8" a="1"/>
  <c r="N28" i="8" s="1"/>
  <c r="O28" i="8" a="1"/>
  <c r="O28" i="8" s="1"/>
  <c r="R27" i="8" a="1"/>
  <c r="R27" i="8" s="1"/>
  <c r="O27" i="8" a="1"/>
  <c r="O27" i="8" s="1"/>
  <c r="P27" i="8" a="1"/>
  <c r="P27" i="8" s="1"/>
  <c r="N27" i="8" a="1"/>
  <c r="N27" i="8" s="1"/>
  <c r="S27" i="8" a="1"/>
  <c r="S27" i="8" s="1"/>
  <c r="R15" i="8" a="1"/>
  <c r="R15" i="8" s="1"/>
  <c r="P15" i="8" a="1"/>
  <c r="P15" i="8" s="1"/>
  <c r="N15" i="8" a="1"/>
  <c r="N15" i="8" s="1"/>
  <c r="O15" i="8" a="1"/>
  <c r="O15" i="8" s="1"/>
  <c r="S15" i="8" a="1"/>
  <c r="S15" i="8" s="1"/>
  <c r="R26" i="8" a="1"/>
  <c r="R26" i="8" s="1"/>
  <c r="O26" i="8" a="1"/>
  <c r="O26" i="8" s="1"/>
  <c r="P26" i="8" a="1"/>
  <c r="P26" i="8" s="1"/>
  <c r="N26" i="8" a="1"/>
  <c r="N26" i="8" s="1"/>
  <c r="S26" i="8" a="1"/>
  <c r="S26" i="8" s="1"/>
  <c r="R36" i="8" a="1"/>
  <c r="R36" i="8" s="1"/>
  <c r="P36" i="8" a="1"/>
  <c r="P36" i="8" s="1"/>
  <c r="O36" i="8" a="1"/>
  <c r="O36" i="8" s="1"/>
  <c r="N36" i="8" a="1"/>
  <c r="N36" i="8" s="1"/>
  <c r="S36" i="8" a="1"/>
  <c r="S36" i="8" s="1"/>
  <c r="O24" i="8" a="1"/>
  <c r="O24" i="8" s="1"/>
  <c r="R24" i="8" a="1"/>
  <c r="R24" i="8" s="1"/>
  <c r="P24" i="8" a="1"/>
  <c r="P24" i="8" s="1"/>
  <c r="N24" i="8" a="1"/>
  <c r="N24" i="8" s="1"/>
  <c r="S24" i="8" a="1"/>
  <c r="S24" i="8" s="1"/>
  <c r="S16" i="8" a="1"/>
  <c r="S16" i="8" s="1"/>
  <c r="R16" i="8" a="1"/>
  <c r="R16" i="8" s="1"/>
  <c r="O16" i="8" a="1"/>
  <c r="O16" i="8" s="1"/>
  <c r="P16" i="8" a="1"/>
  <c r="P16" i="8" s="1"/>
  <c r="N16" i="8" a="1"/>
  <c r="N16" i="8" s="1"/>
  <c r="R25" i="8" a="1"/>
  <c r="R25" i="8" s="1"/>
  <c r="P25" i="8" a="1"/>
  <c r="P25" i="8" s="1"/>
  <c r="O25" i="8" a="1"/>
  <c r="O25" i="8" s="1"/>
  <c r="N25" i="8" a="1"/>
  <c r="N25" i="8" s="1"/>
  <c r="S25" i="8" a="1"/>
  <c r="S25" i="8" s="1"/>
  <c r="R35" i="8" a="1"/>
  <c r="R35" i="8" s="1"/>
  <c r="P35" i="8" a="1"/>
  <c r="P35" i="8" s="1"/>
  <c r="O35" i="8" a="1"/>
  <c r="O35" i="8" s="1"/>
  <c r="N35" i="8" a="1"/>
  <c r="N35" i="8" s="1"/>
  <c r="S35" i="8" a="1"/>
  <c r="S35" i="8" s="1"/>
  <c r="R23" i="8" a="1"/>
  <c r="R23" i="8" s="1"/>
  <c r="O23" i="8" a="1"/>
  <c r="O23" i="8" s="1"/>
  <c r="P23" i="8" a="1"/>
  <c r="P23" i="8" s="1"/>
  <c r="N23" i="8" a="1"/>
  <c r="N23" i="8" s="1"/>
  <c r="S23" i="8" a="1"/>
  <c r="S23" i="8" s="1"/>
  <c r="S19" i="8" a="1"/>
  <c r="S19" i="8" s="1"/>
  <c r="R19" i="8" a="1"/>
  <c r="R19" i="8" s="1"/>
  <c r="O19" i="8" a="1"/>
  <c r="O19" i="8" s="1"/>
  <c r="P19" i="8" a="1"/>
  <c r="P19" i="8" s="1"/>
  <c r="N19" i="8" a="1"/>
  <c r="N19" i="8" s="1"/>
  <c r="R37" i="8" a="1"/>
  <c r="R37" i="8" s="1"/>
  <c r="O37" i="8" a="1"/>
  <c r="O37" i="8" s="1"/>
  <c r="P37" i="8" a="1"/>
  <c r="P37" i="8" s="1"/>
  <c r="N37" i="8" a="1"/>
  <c r="N37" i="8" s="1"/>
  <c r="S37" i="8" a="1"/>
  <c r="S37" i="8" s="1"/>
  <c r="R34" i="8" a="1"/>
  <c r="R34" i="8" s="1"/>
  <c r="O34" i="8" a="1"/>
  <c r="O34" i="8" s="1"/>
  <c r="P34" i="8" a="1"/>
  <c r="P34" i="8" s="1"/>
  <c r="N34" i="8" a="1"/>
  <c r="N34" i="8" s="1"/>
  <c r="S34" i="8" a="1"/>
  <c r="S34" i="8" s="1"/>
  <c r="S22" i="8" a="1"/>
  <c r="S22" i="8" s="1"/>
  <c r="O22" i="8" a="1"/>
  <c r="O22" i="8" s="1"/>
  <c r="R22" i="8" a="1"/>
  <c r="R22" i="8" s="1"/>
  <c r="P22" i="8" a="1"/>
  <c r="P22" i="8" s="1"/>
  <c r="N22" i="8" a="1"/>
  <c r="N22" i="8" s="1"/>
  <c r="R33" i="8" a="1"/>
  <c r="R33" i="8" s="1"/>
  <c r="P33" i="8" a="1"/>
  <c r="P33" i="8" s="1"/>
  <c r="O33" i="8" a="1"/>
  <c r="O33" i="8" s="1"/>
  <c r="N33" i="8" a="1"/>
  <c r="N33" i="8" s="1"/>
  <c r="S33" i="8" a="1"/>
  <c r="S33" i="8" s="1"/>
  <c r="R21" i="8" a="1"/>
  <c r="R21" i="8" s="1"/>
  <c r="P21" i="8" a="1"/>
  <c r="P21" i="8" s="1"/>
  <c r="O21" i="8" a="1"/>
  <c r="O21" i="8" s="1"/>
  <c r="N21" i="8" a="1"/>
  <c r="N21" i="8" s="1"/>
  <c r="S21" i="8" a="1"/>
  <c r="S21" i="8" s="1"/>
  <c r="S32" i="8" a="1"/>
  <c r="S32" i="8" s="1"/>
  <c r="R32" i="8" a="1"/>
  <c r="R32" i="8" s="1"/>
  <c r="P32" i="8" a="1"/>
  <c r="P32" i="8" s="1"/>
  <c r="O32" i="8" a="1"/>
  <c r="O32" i="8" s="1"/>
  <c r="N32" i="8" a="1"/>
  <c r="N32" i="8" s="1"/>
  <c r="R20" i="8" a="1"/>
  <c r="R20" i="8" s="1"/>
  <c r="P20" i="8" a="1"/>
  <c r="P20" i="8" s="1"/>
  <c r="N20" i="8" a="1"/>
  <c r="N20" i="8" s="1"/>
  <c r="S20" i="8" a="1"/>
  <c r="S20" i="8" s="1"/>
  <c r="O20" i="8" a="1"/>
  <c r="O20" i="8" s="1"/>
  <c r="M12" i="8" a="1"/>
  <c r="M12" i="8" s="1"/>
  <c r="J34" i="11"/>
  <c r="H34" i="11" s="1"/>
  <c r="J37" i="11"/>
  <c r="H37" i="11" s="1"/>
  <c r="J40" i="11"/>
  <c r="H40" i="11" s="1"/>
  <c r="J43" i="11"/>
  <c r="H43" i="11" s="1"/>
  <c r="J46" i="11"/>
  <c r="H46" i="11" s="1"/>
  <c r="J49" i="11"/>
  <c r="H49" i="11" s="1"/>
  <c r="J52" i="11"/>
  <c r="H52" i="11" s="1"/>
  <c r="J55" i="11"/>
  <c r="H55" i="11" s="1"/>
  <c r="J58" i="11"/>
  <c r="H58" i="11" s="1"/>
  <c r="J61" i="11"/>
  <c r="J64" i="11"/>
  <c r="H64" i="11" s="1"/>
  <c r="J67" i="11"/>
  <c r="J70" i="11"/>
  <c r="H70" i="11" s="1"/>
  <c r="J73" i="11"/>
  <c r="J76" i="11"/>
  <c r="H76" i="11" s="1"/>
  <c r="J79" i="11"/>
  <c r="J82" i="11"/>
  <c r="H82" i="11" s="1"/>
  <c r="J85" i="11"/>
  <c r="J88" i="11"/>
  <c r="H88" i="11" s="1"/>
  <c r="J91" i="11"/>
  <c r="J94" i="11"/>
  <c r="H94" i="11" s="1"/>
  <c r="J97" i="11"/>
  <c r="J100" i="11"/>
  <c r="H100" i="11" s="1"/>
  <c r="J103" i="11"/>
  <c r="J106" i="11"/>
  <c r="H106" i="11" s="1"/>
  <c r="J109" i="11"/>
  <c r="J112" i="11"/>
  <c r="H112" i="11" s="1"/>
  <c r="J115" i="11"/>
  <c r="J118" i="11"/>
  <c r="H118" i="11" s="1"/>
  <c r="J121" i="11"/>
  <c r="J124" i="11"/>
  <c r="H124" i="11" s="1"/>
  <c r="J127" i="11"/>
  <c r="J130" i="11"/>
  <c r="H130" i="11" s="1"/>
  <c r="J133" i="11"/>
  <c r="J136" i="11"/>
  <c r="H136" i="11" s="1"/>
  <c r="J139" i="11"/>
  <c r="J142" i="11"/>
  <c r="H142" i="11" s="1"/>
  <c r="J145" i="11"/>
  <c r="J148" i="11"/>
  <c r="H148" i="11" s="1"/>
  <c r="J35" i="11"/>
  <c r="H35" i="11" s="1"/>
  <c r="J38" i="11"/>
  <c r="J41" i="11"/>
  <c r="H41" i="11" s="1"/>
  <c r="J44" i="11"/>
  <c r="J47" i="11"/>
  <c r="H47" i="11" s="1"/>
  <c r="J50" i="11"/>
  <c r="J53" i="11"/>
  <c r="H53" i="11" s="1"/>
  <c r="J56" i="11"/>
  <c r="J59" i="11"/>
  <c r="H59" i="11" s="1"/>
  <c r="J62" i="11"/>
  <c r="H62" i="11" s="1"/>
  <c r="J65" i="11"/>
  <c r="H65" i="11" s="1"/>
  <c r="J68" i="11"/>
  <c r="H68" i="11" s="1"/>
  <c r="J71" i="11"/>
  <c r="H71" i="11" s="1"/>
  <c r="J74" i="11"/>
  <c r="H74" i="11" s="1"/>
  <c r="J77" i="11"/>
  <c r="H77" i="11" s="1"/>
  <c r="J80" i="11"/>
  <c r="H80" i="11" s="1"/>
  <c r="J83" i="11"/>
  <c r="H83" i="11" s="1"/>
  <c r="J86" i="11"/>
  <c r="H86" i="11" s="1"/>
  <c r="J89" i="11"/>
  <c r="H89" i="11" s="1"/>
  <c r="J92" i="11"/>
  <c r="H92" i="11" s="1"/>
  <c r="J95" i="11"/>
  <c r="H95" i="11" s="1"/>
  <c r="J98" i="11"/>
  <c r="H98" i="11" s="1"/>
  <c r="J101" i="11"/>
  <c r="H101" i="11" s="1"/>
  <c r="J104" i="11"/>
  <c r="H104" i="11" s="1"/>
  <c r="J107" i="11"/>
  <c r="H107" i="11" s="1"/>
  <c r="J110" i="11"/>
  <c r="H110" i="11" s="1"/>
  <c r="J113" i="11"/>
  <c r="H113" i="11" s="1"/>
  <c r="J116" i="11"/>
  <c r="H116" i="11" s="1"/>
  <c r="J119" i="11"/>
  <c r="H119" i="11" s="1"/>
  <c r="J122" i="11"/>
  <c r="H122" i="11" s="1"/>
  <c r="J125" i="11"/>
  <c r="H125" i="11" s="1"/>
  <c r="J128" i="11"/>
  <c r="H128" i="11" s="1"/>
  <c r="J131" i="11"/>
  <c r="H131" i="11" s="1"/>
  <c r="J134" i="11"/>
  <c r="H134" i="11" s="1"/>
  <c r="J137" i="11"/>
  <c r="H137" i="11" s="1"/>
  <c r="J140" i="11"/>
  <c r="H140" i="11" s="1"/>
  <c r="J143" i="11"/>
  <c r="H143" i="11" s="1"/>
  <c r="J146" i="11"/>
  <c r="H146" i="11" s="1"/>
  <c r="J149" i="11"/>
  <c r="H149" i="11" s="1"/>
  <c r="J33" i="11"/>
  <c r="H33" i="11" s="1"/>
  <c r="J36" i="11"/>
  <c r="H36" i="11" s="1"/>
  <c r="J39" i="11"/>
  <c r="H39" i="11" s="1"/>
  <c r="J42" i="11"/>
  <c r="H42" i="11" s="1"/>
  <c r="J45" i="11"/>
  <c r="H45" i="11" s="1"/>
  <c r="J48" i="11"/>
  <c r="H48" i="11" s="1"/>
  <c r="J51" i="11"/>
  <c r="H51" i="11" s="1"/>
  <c r="J54" i="11"/>
  <c r="H54" i="11" s="1"/>
  <c r="J57" i="11"/>
  <c r="H57" i="11" s="1"/>
  <c r="J60" i="11"/>
  <c r="H60" i="11" s="1"/>
  <c r="J63" i="11"/>
  <c r="H63" i="11" s="1"/>
  <c r="J66" i="11"/>
  <c r="H66" i="11" s="1"/>
  <c r="J69" i="11"/>
  <c r="H69" i="11" s="1"/>
  <c r="J72" i="11"/>
  <c r="H72" i="11" s="1"/>
  <c r="J75" i="11"/>
  <c r="H75" i="11" s="1"/>
  <c r="J78" i="11"/>
  <c r="H78" i="11" s="1"/>
  <c r="J81" i="11"/>
  <c r="H81" i="11" s="1"/>
  <c r="J84" i="11"/>
  <c r="H84" i="11" s="1"/>
  <c r="J87" i="11"/>
  <c r="H87" i="11" s="1"/>
  <c r="J90" i="11"/>
  <c r="H90" i="11" s="1"/>
  <c r="J93" i="11"/>
  <c r="H93" i="11" s="1"/>
  <c r="J96" i="11"/>
  <c r="H96" i="11" s="1"/>
  <c r="J99" i="11"/>
  <c r="H99" i="11" s="1"/>
  <c r="J102" i="11"/>
  <c r="H102" i="11" s="1"/>
  <c r="J105" i="11"/>
  <c r="H105" i="11" s="1"/>
  <c r="J108" i="11"/>
  <c r="H108" i="11" s="1"/>
  <c r="J111" i="11"/>
  <c r="H111" i="11" s="1"/>
  <c r="J114" i="11"/>
  <c r="H114" i="11" s="1"/>
  <c r="J117" i="11"/>
  <c r="H117" i="11" s="1"/>
  <c r="J120" i="11"/>
  <c r="H120" i="11" s="1"/>
  <c r="J123" i="11"/>
  <c r="H123" i="11" s="1"/>
  <c r="J126" i="11"/>
  <c r="H126" i="11" s="1"/>
  <c r="J129" i="11"/>
  <c r="H129" i="11" s="1"/>
  <c r="J132" i="11"/>
  <c r="H132" i="11" s="1"/>
  <c r="J135" i="11"/>
  <c r="H135" i="11" s="1"/>
  <c r="J138" i="11"/>
  <c r="H138" i="11" s="1"/>
  <c r="J141" i="11"/>
  <c r="H141" i="11" s="1"/>
  <c r="J144" i="11"/>
  <c r="H144" i="11" s="1"/>
  <c r="J147" i="11"/>
  <c r="H147" i="11" s="1"/>
  <c r="J150" i="11"/>
  <c r="H150" i="11" s="1"/>
  <c r="J17" i="11"/>
  <c r="H17" i="11" s="1"/>
  <c r="J23" i="11"/>
  <c r="H23" i="11" s="1"/>
  <c r="J29" i="11"/>
  <c r="H29" i="11" s="1"/>
  <c r="J18" i="11"/>
  <c r="H18" i="11" s="1"/>
  <c r="J24" i="11"/>
  <c r="H24" i="11" s="1"/>
  <c r="J30" i="11"/>
  <c r="H30" i="11" s="1"/>
  <c r="J19" i="11"/>
  <c r="H19" i="11" s="1"/>
  <c r="J25" i="11"/>
  <c r="H25" i="11" s="1"/>
  <c r="J31" i="11"/>
  <c r="H31" i="11" s="1"/>
  <c r="J20" i="11"/>
  <c r="J26" i="11"/>
  <c r="J32" i="11"/>
  <c r="J21" i="11"/>
  <c r="H21" i="11" s="1"/>
  <c r="J27" i="11"/>
  <c r="H27" i="11" s="1"/>
  <c r="J16" i="11"/>
  <c r="H16" i="11" s="1"/>
  <c r="J22" i="11"/>
  <c r="H22" i="11" s="1"/>
  <c r="J28" i="11"/>
  <c r="H28" i="11" s="1"/>
  <c r="J15" i="11"/>
  <c r="M12" i="11" l="1" a="1"/>
  <c r="M12" i="11" s="1"/>
  <c r="H56" i="11"/>
  <c r="H139" i="11"/>
  <c r="H103" i="11"/>
  <c r="H67" i="11"/>
  <c r="H133" i="11"/>
  <c r="H97" i="11"/>
  <c r="H61" i="11"/>
  <c r="H50" i="11"/>
  <c r="H127" i="11"/>
  <c r="H91" i="11"/>
  <c r="H44" i="11"/>
  <c r="H121" i="11"/>
  <c r="H85" i="11"/>
  <c r="H38" i="11"/>
  <c r="I127" i="11"/>
  <c r="I43" i="11"/>
  <c r="I124" i="11"/>
  <c r="I121" i="11"/>
  <c r="I118" i="11"/>
  <c r="I109" i="11"/>
  <c r="I103" i="11"/>
  <c r="I97" i="11"/>
  <c r="I82" i="11"/>
  <c r="I70" i="11"/>
  <c r="I46" i="11"/>
  <c r="I150" i="11"/>
  <c r="I147" i="11"/>
  <c r="I144" i="11"/>
  <c r="I141" i="11"/>
  <c r="I138" i="11"/>
  <c r="I135" i="11"/>
  <c r="I132" i="11"/>
  <c r="I129" i="11"/>
  <c r="I126" i="11"/>
  <c r="I123" i="11"/>
  <c r="I120" i="11"/>
  <c r="I117" i="11"/>
  <c r="I114" i="11"/>
  <c r="I111" i="11"/>
  <c r="I108" i="11"/>
  <c r="I105" i="11"/>
  <c r="I102" i="11"/>
  <c r="I99" i="11"/>
  <c r="I96" i="11"/>
  <c r="I93" i="11"/>
  <c r="I90" i="11"/>
  <c r="I87" i="11"/>
  <c r="I84" i="11"/>
  <c r="I81" i="11"/>
  <c r="I78" i="11"/>
  <c r="I75" i="11"/>
  <c r="I72" i="11"/>
  <c r="I69" i="11"/>
  <c r="I66" i="11"/>
  <c r="I63" i="11"/>
  <c r="I60" i="11"/>
  <c r="I57" i="11"/>
  <c r="I54" i="11"/>
  <c r="I51" i="11"/>
  <c r="I48" i="11"/>
  <c r="I45" i="11"/>
  <c r="I42" i="11"/>
  <c r="I39" i="11"/>
  <c r="I36" i="11"/>
  <c r="I33" i="11"/>
  <c r="I133" i="11"/>
  <c r="I106" i="11"/>
  <c r="I94" i="11"/>
  <c r="I73" i="11"/>
  <c r="I55" i="11"/>
  <c r="I37" i="11"/>
  <c r="I130" i="11"/>
  <c r="I64" i="11"/>
  <c r="I139" i="11"/>
  <c r="I58" i="11"/>
  <c r="I149" i="11"/>
  <c r="I146" i="11"/>
  <c r="I143" i="11"/>
  <c r="I140" i="11"/>
  <c r="I137" i="11"/>
  <c r="I134" i="11"/>
  <c r="I131" i="11"/>
  <c r="I128" i="11"/>
  <c r="I125" i="11"/>
  <c r="I122" i="11"/>
  <c r="I119" i="11"/>
  <c r="I116" i="11"/>
  <c r="I113" i="11"/>
  <c r="I110" i="11"/>
  <c r="I107" i="11"/>
  <c r="I104" i="11"/>
  <c r="I101" i="11"/>
  <c r="I98" i="11"/>
  <c r="I95" i="11"/>
  <c r="I92" i="11"/>
  <c r="I89" i="11"/>
  <c r="I86" i="11"/>
  <c r="I83" i="11"/>
  <c r="I80" i="11"/>
  <c r="I77" i="11"/>
  <c r="I74" i="11"/>
  <c r="I71" i="11"/>
  <c r="I68" i="11"/>
  <c r="I65" i="11"/>
  <c r="I62" i="11"/>
  <c r="I59" i="11"/>
  <c r="I56" i="11"/>
  <c r="I53" i="11"/>
  <c r="I50" i="11"/>
  <c r="I47" i="11"/>
  <c r="I44" i="11"/>
  <c r="I41" i="11"/>
  <c r="I38" i="11"/>
  <c r="I35" i="11"/>
  <c r="I142" i="11"/>
  <c r="I115" i="11"/>
  <c r="I100" i="11"/>
  <c r="I88" i="11"/>
  <c r="I76" i="11"/>
  <c r="I67" i="11"/>
  <c r="I49" i="11"/>
  <c r="I136" i="11"/>
  <c r="I85" i="11"/>
  <c r="I52" i="11"/>
  <c r="I34" i="11"/>
  <c r="I145" i="11"/>
  <c r="I148" i="11"/>
  <c r="I112" i="11"/>
  <c r="I91" i="11"/>
  <c r="I79" i="11"/>
  <c r="I61" i="11"/>
  <c r="I40" i="11"/>
  <c r="H115" i="11"/>
  <c r="H79" i="11"/>
  <c r="H145" i="11"/>
  <c r="H109" i="11"/>
  <c r="H73" i="11"/>
  <c r="H26" i="11"/>
  <c r="H20" i="11"/>
  <c r="H32" i="11"/>
  <c r="H15" i="11"/>
  <c r="I15" i="11"/>
  <c r="I32" i="11"/>
  <c r="I20" i="11"/>
  <c r="I31" i="11"/>
  <c r="I19" i="11"/>
  <c r="I30" i="11"/>
  <c r="I18" i="11"/>
  <c r="I29" i="11"/>
  <c r="I17" i="11"/>
  <c r="I28" i="11"/>
  <c r="I16" i="11"/>
  <c r="I27" i="11"/>
  <c r="I26" i="11"/>
  <c r="I25" i="11"/>
  <c r="I24" i="11"/>
  <c r="I23" i="11"/>
  <c r="I22" i="11"/>
  <c r="I21" i="11"/>
  <c r="O37" i="11" l="1"/>
  <c r="N37" i="11"/>
  <c r="P37" i="11" s="1"/>
  <c r="O15" i="11"/>
  <c r="S15" i="11" s="1" a="1"/>
  <c r="S15" i="11" s="1"/>
  <c r="O27" i="11"/>
  <c r="O16" i="11"/>
  <c r="O28" i="11"/>
  <c r="O17" i="11"/>
  <c r="O29" i="11"/>
  <c r="O30" i="11"/>
  <c r="O18" i="11"/>
  <c r="O19" i="11"/>
  <c r="O31" i="11"/>
  <c r="O20" i="11"/>
  <c r="O32" i="11"/>
  <c r="O21" i="11"/>
  <c r="O33" i="11"/>
  <c r="O22" i="11"/>
  <c r="S22" i="11" s="1" a="1"/>
  <c r="S22" i="11" s="1"/>
  <c r="O34" i="11"/>
  <c r="O23" i="11"/>
  <c r="O35" i="11"/>
  <c r="O36" i="11"/>
  <c r="O25" i="11"/>
  <c r="O24" i="11"/>
  <c r="O26" i="11"/>
  <c r="N15" i="11"/>
  <c r="P15" i="11" s="1"/>
  <c r="N27" i="11"/>
  <c r="P27" i="11" s="1"/>
  <c r="N16" i="11"/>
  <c r="P16" i="11" s="1"/>
  <c r="N28" i="11"/>
  <c r="P28" i="11" s="1"/>
  <c r="N17" i="11"/>
  <c r="P17" i="11" s="1"/>
  <c r="N29" i="11"/>
  <c r="P29" i="11" s="1"/>
  <c r="N18" i="11"/>
  <c r="P18" i="11" s="1"/>
  <c r="N30" i="11"/>
  <c r="P30" i="11" s="1"/>
  <c r="N19" i="11"/>
  <c r="P19" i="11" s="1"/>
  <c r="N31" i="11"/>
  <c r="P31" i="11" s="1"/>
  <c r="N20" i="11"/>
  <c r="P20" i="11" s="1"/>
  <c r="N32" i="11"/>
  <c r="P32" i="11" s="1"/>
  <c r="N21" i="11"/>
  <c r="P21" i="11" s="1"/>
  <c r="N33" i="11"/>
  <c r="P33" i="11" s="1"/>
  <c r="N22" i="11"/>
  <c r="P22" i="11" s="1"/>
  <c r="N34" i="11"/>
  <c r="P34" i="11" s="1"/>
  <c r="N23" i="11"/>
  <c r="P23" i="11" s="1"/>
  <c r="N35" i="11"/>
  <c r="P35" i="11" s="1"/>
  <c r="N24" i="11"/>
  <c r="P24" i="11" s="1"/>
  <c r="N36" i="11"/>
  <c r="P36" i="11" s="1"/>
  <c r="N25" i="11"/>
  <c r="P25" i="11" s="1"/>
  <c r="N26" i="11"/>
  <c r="P26" i="11" s="1"/>
  <c r="R37" i="11" l="1" a="1"/>
  <c r="R37" i="11" s="1"/>
  <c r="Q37" i="11" a="1"/>
  <c r="Q37" i="11" s="1"/>
  <c r="T37" i="11" a="1"/>
  <c r="T37" i="11" s="1"/>
  <c r="U37" i="11" a="1"/>
  <c r="U37" i="11" s="1"/>
  <c r="S37" i="11" a="1"/>
  <c r="S37" i="11" s="1"/>
  <c r="U33" i="11" a="1"/>
  <c r="U33" i="11" s="1"/>
  <c r="U34" i="11" a="1"/>
  <c r="U34" i="11" s="1"/>
  <c r="U22" i="11" a="1"/>
  <c r="U22" i="11" s="1"/>
  <c r="U17" i="11" a="1"/>
  <c r="U17" i="11" s="1"/>
  <c r="S18" i="11" a="1"/>
  <c r="S18" i="11" s="1"/>
  <c r="S36" i="11" a="1"/>
  <c r="S36" i="11" s="1"/>
  <c r="S20" i="11" a="1"/>
  <c r="S20" i="11" s="1"/>
  <c r="S16" i="11" a="1"/>
  <c r="S16" i="11" s="1"/>
  <c r="S24" i="11" a="1"/>
  <c r="S24" i="11" s="1"/>
  <c r="S31" i="11" a="1"/>
  <c r="S31" i="11" s="1"/>
  <c r="S27" i="11" a="1"/>
  <c r="S27" i="11" s="1"/>
  <c r="S23" i="11" a="1"/>
  <c r="S23" i="11" s="1"/>
  <c r="S35" i="11" a="1"/>
  <c r="S35" i="11" s="1"/>
  <c r="S34" i="11" a="1"/>
  <c r="S34" i="11" s="1"/>
  <c r="S29" i="11" a="1"/>
  <c r="S29" i="11" s="1"/>
  <c r="S17" i="11" a="1"/>
  <c r="S17" i="11" s="1"/>
  <c r="S30" i="11" a="1"/>
  <c r="S30" i="11" s="1"/>
  <c r="S33" i="11" a="1"/>
  <c r="S33" i="11" s="1"/>
  <c r="S21" i="11" a="1"/>
  <c r="S21" i="11" s="1"/>
  <c r="U24" i="11" a="1"/>
  <c r="U24" i="11" s="1"/>
  <c r="S32" i="11" a="1"/>
  <c r="S32" i="11" s="1"/>
  <c r="S28" i="11" a="1"/>
  <c r="S28" i="11" s="1"/>
  <c r="S26" i="11" a="1"/>
  <c r="S26" i="11" s="1"/>
  <c r="S25" i="11" a="1"/>
  <c r="S25" i="11" s="1"/>
  <c r="S19" i="11" a="1"/>
  <c r="S19" i="11" s="1"/>
  <c r="U21" i="11" a="1"/>
  <c r="U21" i="11" s="1"/>
  <c r="U20" i="11" a="1"/>
  <c r="U20" i="11" s="1"/>
  <c r="U16" i="11" a="1"/>
  <c r="U16" i="11" s="1"/>
  <c r="U26" i="11" a="1"/>
  <c r="U26" i="11" s="1"/>
  <c r="U23" i="11" a="1"/>
  <c r="U23" i="11" s="1"/>
  <c r="U18" i="11" a="1"/>
  <c r="U18" i="11" s="1"/>
  <c r="U36" i="11" a="1"/>
  <c r="U36" i="11" s="1"/>
  <c r="U29" i="11" a="1"/>
  <c r="U29" i="11" s="1"/>
  <c r="U32" i="11" a="1"/>
  <c r="U32" i="11" s="1"/>
  <c r="U28" i="11" a="1"/>
  <c r="U28" i="11" s="1"/>
  <c r="U25" i="11" a="1"/>
  <c r="U25" i="11" s="1"/>
  <c r="U31" i="11" a="1"/>
  <c r="U31" i="11" s="1"/>
  <c r="U27" i="11" a="1"/>
  <c r="U27" i="11" s="1"/>
  <c r="U19" i="11" a="1"/>
  <c r="U19" i="11" s="1"/>
  <c r="U35" i="11" a="1"/>
  <c r="U35" i="11" s="1"/>
  <c r="U30" i="11" a="1"/>
  <c r="U30" i="11" s="1"/>
  <c r="T29" i="11" a="1"/>
  <c r="T29" i="11" s="1"/>
  <c r="T33" i="11" a="1"/>
  <c r="T33" i="11" s="1"/>
  <c r="T34" i="11" a="1"/>
  <c r="T34" i="11" s="1"/>
  <c r="T32" i="11" a="1"/>
  <c r="T32" i="11" s="1"/>
  <c r="T28" i="11" a="1"/>
  <c r="T28" i="11" s="1"/>
  <c r="T26" i="11" a="1"/>
  <c r="T26" i="11" s="1"/>
  <c r="T20" i="11" a="1"/>
  <c r="T20" i="11" s="1"/>
  <c r="T16" i="11" a="1"/>
  <c r="T16" i="11" s="1"/>
  <c r="T24" i="11" a="1"/>
  <c r="T24" i="11" s="1"/>
  <c r="T21" i="11" a="1"/>
  <c r="T21" i="11" s="1"/>
  <c r="T25" i="11" a="1"/>
  <c r="T25" i="11" s="1"/>
  <c r="T36" i="11" a="1"/>
  <c r="T36" i="11" s="1"/>
  <c r="T19" i="11" a="1"/>
  <c r="T19" i="11" s="1"/>
  <c r="T15" i="11" a="1"/>
  <c r="T15" i="11" s="1"/>
  <c r="U15" i="11" a="1"/>
  <c r="U15" i="11" s="1"/>
  <c r="T18" i="11" a="1"/>
  <c r="T18" i="11" s="1"/>
  <c r="T17" i="11" a="1"/>
  <c r="T17" i="11" s="1"/>
  <c r="T31" i="11" a="1"/>
  <c r="T31" i="11" s="1"/>
  <c r="T27" i="11" a="1"/>
  <c r="T27" i="11" s="1"/>
  <c r="T35" i="11" a="1"/>
  <c r="T35" i="11" s="1"/>
  <c r="T30" i="11" a="1"/>
  <c r="T30" i="11" s="1"/>
  <c r="T23" i="11" a="1"/>
  <c r="T23" i="11" s="1"/>
  <c r="T22" i="11" a="1"/>
  <c r="T22" i="11" s="1"/>
  <c r="Q32" i="11" a="1"/>
  <c r="Q32" i="11" s="1"/>
  <c r="R32" i="11" a="1"/>
  <c r="R32" i="11" s="1"/>
  <c r="R28" i="11" a="1"/>
  <c r="R28" i="11" s="1"/>
  <c r="Q28" i="11" a="1"/>
  <c r="Q28" i="11" s="1"/>
  <c r="R26" i="11" a="1"/>
  <c r="R26" i="11" s="1"/>
  <c r="Q26" i="11" a="1"/>
  <c r="Q26" i="11" s="1"/>
  <c r="R20" i="11" a="1"/>
  <c r="R20" i="11" s="1"/>
  <c r="Q20" i="11" a="1"/>
  <c r="Q20" i="11" s="1"/>
  <c r="R16" i="11" a="1"/>
  <c r="R16" i="11" s="1"/>
  <c r="Q16" i="11" a="1"/>
  <c r="Q16" i="11" s="1"/>
  <c r="Q25" i="11" a="1"/>
  <c r="Q25" i="11" s="1"/>
  <c r="R25" i="11" a="1"/>
  <c r="R25" i="11" s="1"/>
  <c r="Q31" i="11" a="1"/>
  <c r="Q31" i="11" s="1"/>
  <c r="R31" i="11" a="1"/>
  <c r="R31" i="11" s="1"/>
  <c r="Q27" i="11" a="1"/>
  <c r="Q27" i="11" s="1"/>
  <c r="R27" i="11" a="1"/>
  <c r="R27" i="11" s="1"/>
  <c r="R36" i="11" a="1"/>
  <c r="R36" i="11" s="1"/>
  <c r="Q36" i="11" a="1"/>
  <c r="Q36" i="11" s="1"/>
  <c r="R19" i="11" a="1"/>
  <c r="R19" i="11" s="1"/>
  <c r="Q19" i="11" a="1"/>
  <c r="Q19" i="11" s="1"/>
  <c r="Q15" i="11" a="1"/>
  <c r="Q15" i="11" s="1"/>
  <c r="R15" i="11" a="1"/>
  <c r="R15" i="11" s="1"/>
  <c r="R17" i="11" a="1"/>
  <c r="R17" i="11" s="1"/>
  <c r="Q17" i="11" a="1"/>
  <c r="Q17" i="11" s="1"/>
  <c r="R24" i="11" a="1"/>
  <c r="R24" i="11" s="1"/>
  <c r="Q24" i="11" a="1"/>
  <c r="Q24" i="11" s="1"/>
  <c r="R35" i="11" a="1"/>
  <c r="R35" i="11" s="1"/>
  <c r="Q35" i="11" a="1"/>
  <c r="Q35" i="11" s="1"/>
  <c r="R30" i="11" a="1"/>
  <c r="R30" i="11" s="1"/>
  <c r="Q30" i="11" a="1"/>
  <c r="Q30" i="11" s="1"/>
  <c r="Q21" i="11" a="1"/>
  <c r="Q21" i="11" s="1"/>
  <c r="R21" i="11" a="1"/>
  <c r="R21" i="11" s="1"/>
  <c r="R23" i="11" a="1"/>
  <c r="R23" i="11" s="1"/>
  <c r="Q23" i="11" a="1"/>
  <c r="Q23" i="11" s="1"/>
  <c r="R18" i="11" a="1"/>
  <c r="R18" i="11" s="1"/>
  <c r="Q18" i="11" a="1"/>
  <c r="Q18" i="11" s="1"/>
  <c r="Q33" i="11" a="1"/>
  <c r="Q33" i="11" s="1"/>
  <c r="R33" i="11" a="1"/>
  <c r="R33" i="11" s="1"/>
  <c r="R34" i="11" a="1"/>
  <c r="R34" i="11" s="1"/>
  <c r="Q34" i="11" a="1"/>
  <c r="Q34" i="11" s="1"/>
  <c r="R22" i="11" a="1"/>
  <c r="R22" i="11" s="1"/>
  <c r="Q22" i="11" a="1"/>
  <c r="Q22" i="11" s="1"/>
  <c r="R29" i="11" a="1"/>
  <c r="R29" i="11" s="1"/>
  <c r="Q29" i="11" a="1"/>
  <c r="Q29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  <author>Paul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  <comment ref="A29" authorId="1" shapeId="0" xr:uid="{00000000-0006-0000-0000-000002000000}">
      <text>
        <r>
          <rPr>
            <sz val="8"/>
            <color indexed="81"/>
            <rFont val="Tahoma"/>
            <family val="2"/>
          </rPr>
          <t>To display the steps as you follow them, use the AbleOwl Genie add-in's ESP Procedures. Locate Procedures in the ESP ribbon and group Doc.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531065-4BF2-412E-AC4E-89941CAE6583}" keepAlive="1" name="Query - SameTransform" description="Connection to the 'SameTransform' query in the workbook." type="5" refreshedVersion="8" background="1" saveData="1">
    <dbPr connection="Provider=Microsoft.Mashup.OleDb.1;Data Source=$Workbook$;Location=SameTransform;Extended Properties=&quot;&quot;" command="SELECT * FROM [SameTransform]"/>
  </connection>
  <connection id="2" xr16:uid="{66235275-AA64-4B6F-8969-6F7CA1C54F32}" keepAlive="1" name="Query - VaryTransform" description="Connection to the 'VaryTransform' query in the workbook." type="5" refreshedVersion="8" background="1" saveData="1">
    <dbPr connection="Provider=Microsoft.Mashup.OleDb.1;Data Source=$Workbook$;Location=VaryTransform;Extended Properties=&quot;&quot;" command="SELECT * FROM [VaryTransfor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<sst xmlns="http://schemas.openxmlformats.org/spreadsheetml/2006/main" count="798" uniqueCount="107">
  <si>
    <t>Key parameters</t>
  </si>
  <si>
    <t>Now</t>
  </si>
  <si>
    <t>Organisation name</t>
  </si>
  <si>
    <t>Org name</t>
  </si>
  <si>
    <t>Procedures</t>
  </si>
  <si>
    <t>Application name</t>
  </si>
  <si>
    <t>File name</t>
  </si>
  <si>
    <t>Version</t>
  </si>
  <si>
    <t>1)</t>
  </si>
  <si>
    <t>2)</t>
  </si>
  <si>
    <t>References</t>
  </si>
  <si>
    <t>Crosscheck tolerance</t>
  </si>
  <si>
    <t>Crosscheck text</t>
  </si>
  <si>
    <t>Crosscheck error!</t>
  </si>
  <si>
    <t>Workbook purpose</t>
  </si>
  <si>
    <t>Who created/modified</t>
  </si>
  <si>
    <t>Guide</t>
  </si>
  <si>
    <t>Modifications</t>
  </si>
  <si>
    <t>Data sources</t>
  </si>
  <si>
    <t>Data inputs</t>
  </si>
  <si>
    <t>Reports</t>
  </si>
  <si>
    <t>Outputs</t>
  </si>
  <si>
    <t>Input-Process-Output</t>
  </si>
  <si>
    <t>Process/Calcs</t>
  </si>
  <si>
    <t>Overview</t>
  </si>
  <si>
    <t>Application purpose</t>
  </si>
  <si>
    <t>Diagram of data flow</t>
  </si>
  <si>
    <t>-</t>
  </si>
  <si>
    <t>Usage tasks</t>
  </si>
  <si>
    <t>Maintenance tasks</t>
  </si>
  <si>
    <t>Task 1</t>
  </si>
  <si>
    <t>Task</t>
  </si>
  <si>
    <t>Application filename prefix</t>
  </si>
  <si>
    <t>Files</t>
  </si>
  <si>
    <t> </t>
  </si>
  <si>
    <t>Paul Oulton</t>
  </si>
  <si>
    <t>28-Jan-2024A</t>
  </si>
  <si>
    <t>Refund Of Overpay</t>
  </si>
  <si>
    <t>P S refund</t>
  </si>
  <si>
    <t>Payment</t>
  </si>
  <si>
    <t>Cherryblosso Ad Lib</t>
  </si>
  <si>
    <t>Ding Dong</t>
  </si>
  <si>
    <t>Cherryfestia L Erhu Yu</t>
  </si>
  <si>
    <t>Aldo Lib</t>
  </si>
  <si>
    <t xml:space="preserve">Cheryfestiva Lthe Sound O </t>
  </si>
  <si>
    <t>The Sound Of Music</t>
  </si>
  <si>
    <t>Cherryfestiv Al Ping Pong</t>
  </si>
  <si>
    <t>Sue So</t>
  </si>
  <si>
    <t>Cherryfestiv Com Dan</t>
  </si>
  <si>
    <t>Compound Dance</t>
  </si>
  <si>
    <t>Cherryfestiv dancestud</t>
  </si>
  <si>
    <t>Hamilton Chinese Dan</t>
  </si>
  <si>
    <t>The B&amp;B</t>
  </si>
  <si>
    <t>The Big Bang</t>
  </si>
  <si>
    <t>Payment For Fantess Festival Wag</t>
  </si>
  <si>
    <t>Ableowl Xl</t>
  </si>
  <si>
    <t>Cherryfestiv Mexican Folk Los teh</t>
  </si>
  <si>
    <t>Mexican Folkloric Da</t>
  </si>
  <si>
    <t>Cherryfestiv Pipa</t>
  </si>
  <si>
    <t>Sue Mu-Tzu Hsu</t>
  </si>
  <si>
    <t>Trf Sxrn50H8 Stripe</t>
  </si>
  <si>
    <t>Stripe Payments</t>
  </si>
  <si>
    <t>Direct Credit</t>
  </si>
  <si>
    <t>Trf 15Foa16S Stripe</t>
  </si>
  <si>
    <t>115-689-304 Gst</t>
  </si>
  <si>
    <t>Inland Revenue GST</t>
  </si>
  <si>
    <t>Tax Payment</t>
  </si>
  <si>
    <t>Trf Zmi7Uimr Stripe</t>
  </si>
  <si>
    <t>Monthly A/C Fee</t>
  </si>
  <si>
    <t>Bank Fee</t>
  </si>
  <si>
    <t>Trf Rpfwp36U Stripe</t>
  </si>
  <si>
    <t>Cherry Festi Vl Sag Sod</t>
  </si>
  <si>
    <t>A E Depp</t>
  </si>
  <si>
    <t>Trf Rtkz7Nfd Stripe</t>
  </si>
  <si>
    <t>Festival Plumbtoilet Henk Soh</t>
  </si>
  <si>
    <t>Maxflow Plumbing Serv</t>
  </si>
  <si>
    <t>Danfen 162117</t>
  </si>
  <si>
    <t>Danken Fend</t>
  </si>
  <si>
    <t>Cherryfestiv Chin Show</t>
  </si>
  <si>
    <t>Global Organization</t>
  </si>
  <si>
    <t>Balance</t>
  </si>
  <si>
    <t>PayAmount</t>
  </si>
  <si>
    <t>Detail2</t>
  </si>
  <si>
    <t>Detail1</t>
  </si>
  <si>
    <t>PayType</t>
  </si>
  <si>
    <t>TranDate</t>
  </si>
  <si>
    <t>Bank</t>
  </si>
  <si>
    <t>Output</t>
  </si>
  <si>
    <t>Source</t>
  </si>
  <si>
    <t xml:space="preserve"> </t>
  </si>
  <si>
    <t>Varying rows per record</t>
  </si>
  <si>
    <t/>
  </si>
  <si>
    <t>Transaction</t>
  </si>
  <si>
    <t>Description</t>
  </si>
  <si>
    <t>Detail</t>
  </si>
  <si>
    <t>Same six rows per record</t>
  </si>
  <si>
    <t>RowIndex</t>
  </si>
  <si>
    <t>Excel formula solution</t>
  </si>
  <si>
    <t>Excel macro solution</t>
  </si>
  <si>
    <t>Count</t>
  </si>
  <si>
    <t>FiveRower</t>
  </si>
  <si>
    <t>Excel free tip 968</t>
  </si>
  <si>
    <t>First of six atricles to reshape imported data from a single column to a pivoted table of of multiple records and columns. The articles look at three solutions: (a) Excel formulas (b) Power Query (c) Macros. It discusses the prod and cons of the different methods. There are two cases of source data: one where there are six rows for each records and the other where the number of rows per records varies.</t>
  </si>
  <si>
    <t>www.ableowl.com</t>
  </si>
  <si>
    <t>Power Query solution</t>
  </si>
  <si>
    <t>IsFiveRows</t>
  </si>
  <si>
    <t>SourceIndex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</si>
</sst>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6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_);\(#,##0\);0_);* @_)"/>
    <numFmt numFmtId="165" formatCode="#,##0.0_);\(#,##0.0\);0.0_);* @_)"/>
    <numFmt numFmtId="166" formatCode="#,##0.00_);\(#,##0.00\);0.00_);* @_)"/>
    <numFmt numFmtId="167" formatCode="#,##0.000_);\(#,##0.000\);0.000_);* @_)"/>
    <numFmt numFmtId="168" formatCode="#,##0.0000_);\(#,##0.0000\);0.0000_);* @_)"/>
    <numFmt numFmtId="169" formatCode="0;\-0;0;* @"/>
    <numFmt numFmtId="170" formatCode="0%;\-0%;0%;* @_%"/>
    <numFmt numFmtId="171" formatCode="0.0%;\-0.0%;0.0%;* @_%"/>
    <numFmt numFmtId="172" formatCode="0.00%;\-0.00%;0.00%;* @_%"/>
    <numFmt numFmtId="173" formatCode="0.000%;\-0.000%;0.000%;* @_%"/>
    <numFmt numFmtId="174" formatCode="d\-mmm\-yyyy;[Red]&quot;Not date&quot;;&quot;-&quot;;[Red]* &quot;Not date&quot;"/>
    <numFmt numFmtId="175" formatCode="d\-mmm\-yyyy\ h:mm\ AM/PM;[Red]* &quot;Not date&quot;;&quot;-&quot;;[Red]* &quot;Not date&quot;"/>
    <numFmt numFmtId="176" formatCode="d/mm/yyyy;[Red]* &quot;Not date&quot;;&quot;-&quot;;[Red]* &quot;Not date&quot;"/>
    <numFmt numFmtId="177" formatCode="mmm\-yy;[Red]* &quot;Not date&quot;;&quot;-&quot;;[Red]* &quot;Not date&quot;"/>
    <numFmt numFmtId="178" formatCode="h:mm\ AM/PM;[Red]* &quot;Not time&quot;;\-;[Red]* &quot;Not time&quot;"/>
    <numFmt numFmtId="179" formatCode="[h]:mm;[Red]* &quot;Not time&quot;;[h]:mm;[Red]* &quot;Not time&quot;"/>
    <numFmt numFmtId="180" formatCode="d\-mmm\-yyyy;[Red]* &quot;Not date&quot;;&quot;-&quot;;[Red]* &quot;Not date&quot;"/>
    <numFmt numFmtId="181" formatCode="d\-mmm\-yyyy\ h:mm\ AM/PM;[Red]* &quot;Not time&quot;;0;[Red]* &quot;Not time&quot;"/>
    <numFmt numFmtId="182" formatCode="mm/dd/yyyy;[Red]* &quot;Not date&quot;;&quot;-&quot;;[Red]* &quot;Not date&quot;"/>
    <numFmt numFmtId="183" formatCode="d\-mmm;[Red]&quot;Not date&quot;;&quot;-&quot;;[Red]* &quot;Not date&quot;"/>
    <numFmt numFmtId="184" formatCode="#,##0,_);\(#,##0,\);0_);* @_)"/>
    <numFmt numFmtId="185" formatCode="#,##0,,_);\(#,##0,,\);0_);* @_)"/>
    <numFmt numFmtId="186" formatCode="\$* #,##0_);\$* \(#,##0\);\$* 0_);* @_)"/>
    <numFmt numFmtId="187" formatCode="\$* #,##0,_);\$* \(#,##0,\);\$* 0_);* @_)"/>
    <numFmt numFmtId="188" formatCode="\$* #,##0,,_);\$* \(#,##0,,\);\$* 0_);* @_)"/>
    <numFmt numFmtId="189" formatCode="\$* #,##0.0_);\$* \(#,##0.0\);\$* 0.0_);* @_)"/>
    <numFmt numFmtId="190" formatCode="\$* #,##0.00_);\$* \(#,##0.00\);\$* 0.00_);* @_)"/>
    <numFmt numFmtId="191" formatCode="\$* #,##0.000_);\$* \(#,##0.000\);\$* 0.000_);* @_)"/>
    <numFmt numFmtId="192" formatCode="\$* #,##0.0000_);\$* \(#,##0.0000\);\$* 0.0000_);* @_)"/>
    <numFmt numFmtId="193" formatCode="\$* #,##0.000_);\$* \(#,##0.000\)"/>
    <numFmt numFmtId="194" formatCode="d/mm/yyyy;[Red]* &quot;Not date&quot;;&quot;-&quot;"/>
  </numFmts>
  <fonts count="38" x14ac:knownFonts="1">
    <font>
      <sz val="8"/>
      <name val="Arial"/>
      <family val="2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u/>
      <sz val="8"/>
      <color indexed="36"/>
      <name val="Arial"/>
      <family val="2"/>
    </font>
    <font>
      <u/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8"/>
      <color theme="10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4BC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rgb="FF000000"/>
      </bottom>
      <diagonal/>
    </border>
  </borders>
  <cellStyleXfs count="142">
    <xf numFmtId="0" fontId="0" fillId="0" borderId="0" applyFill="0" applyBorder="0">
      <alignment vertical="top"/>
    </xf>
    <xf numFmtId="164" fontId="5" fillId="0" borderId="0" applyFill="0" applyBorder="0">
      <alignment vertical="top"/>
    </xf>
    <xf numFmtId="184" fontId="5" fillId="0" borderId="0" applyFill="0" applyBorder="0">
      <alignment vertical="top"/>
    </xf>
    <xf numFmtId="185" fontId="5" fillId="0" borderId="0" applyFill="0" applyBorder="0">
      <alignment vertical="top"/>
    </xf>
    <xf numFmtId="165" fontId="5" fillId="0" borderId="0" applyFill="0" applyBorder="0">
      <alignment vertical="top"/>
    </xf>
    <xf numFmtId="166" fontId="5" fillId="0" borderId="0" applyFill="0" applyBorder="0">
      <alignment vertical="top"/>
    </xf>
    <xf numFmtId="167" fontId="5" fillId="0" borderId="0" applyFill="0" applyBorder="0">
      <alignment vertical="top"/>
    </xf>
    <xf numFmtId="168" fontId="5" fillId="0" borderId="0" applyFill="0" applyBorder="0">
      <alignment vertical="top"/>
    </xf>
    <xf numFmtId="183" fontId="5" fillId="0" borderId="0" applyFill="0" applyBorder="0">
      <alignment vertical="top"/>
    </xf>
    <xf numFmtId="174" fontId="5" fillId="0" borderId="0" applyFill="0" applyBorder="0">
      <alignment vertical="top"/>
    </xf>
    <xf numFmtId="175" fontId="5" fillId="0" borderId="0" applyFill="0" applyBorder="0">
      <alignment vertical="top"/>
    </xf>
    <xf numFmtId="176" fontId="5" fillId="0" borderId="0" applyFill="0" applyBorder="0">
      <alignment vertical="top"/>
    </xf>
    <xf numFmtId="182" fontId="5" fillId="0" borderId="0" applyFill="0" applyBorder="0">
      <alignment vertical="top"/>
    </xf>
    <xf numFmtId="177" fontId="5" fillId="0" borderId="0" applyFill="0" applyBorder="0">
      <alignment vertical="top"/>
    </xf>
    <xf numFmtId="177" fontId="5" fillId="0" borderId="0" applyFill="0" applyBorder="0">
      <alignment horizontal="center" vertical="top"/>
    </xf>
    <xf numFmtId="169" fontId="5" fillId="0" borderId="0" applyFill="0" applyBorder="0">
      <alignment vertical="top"/>
    </xf>
    <xf numFmtId="178" fontId="5" fillId="0" borderId="0" applyFill="0" applyBorder="0">
      <alignment vertical="top"/>
    </xf>
    <xf numFmtId="179" fontId="5" fillId="0" borderId="0" applyFill="0" applyBorder="0">
      <alignment vertical="top"/>
    </xf>
    <xf numFmtId="170" fontId="5" fillId="0" borderId="0" applyFill="0" applyBorder="0">
      <alignment vertical="top"/>
    </xf>
    <xf numFmtId="171" fontId="6" fillId="0" borderId="0" applyFill="0" applyBorder="0">
      <alignment vertical="top"/>
    </xf>
    <xf numFmtId="172" fontId="5" fillId="0" borderId="0" applyFill="0" applyBorder="0">
      <alignment vertical="top"/>
    </xf>
    <xf numFmtId="173" fontId="5" fillId="0" borderId="0" applyFill="0" applyBorder="0">
      <alignment vertical="top"/>
    </xf>
    <xf numFmtId="186" fontId="5" fillId="0" borderId="0" applyFill="0" applyBorder="0">
      <alignment vertical="top"/>
    </xf>
    <xf numFmtId="187" fontId="5" fillId="0" borderId="0" applyFill="0" applyBorder="0">
      <alignment vertical="top"/>
    </xf>
    <xf numFmtId="188" fontId="5" fillId="0" borderId="0" applyFill="0" applyBorder="0">
      <alignment vertical="top"/>
    </xf>
    <xf numFmtId="189" fontId="5" fillId="0" borderId="0" applyFill="0" applyBorder="0">
      <alignment vertical="top"/>
    </xf>
    <xf numFmtId="190" fontId="5" fillId="0" borderId="0" applyFill="0" applyBorder="0">
      <alignment vertical="top"/>
    </xf>
    <xf numFmtId="191" fontId="5" fillId="0" borderId="0" applyFill="0" applyBorder="0">
      <alignment vertical="top"/>
    </xf>
    <xf numFmtId="192" fontId="5" fillId="0" borderId="0" applyFill="0" applyBorder="0">
      <alignment vertical="top"/>
    </xf>
    <xf numFmtId="0" fontId="7" fillId="0" borderId="0" applyNumberFormat="0" applyFill="0" applyBorder="0" applyAlignment="0" applyProtection="0">
      <alignment vertical="top"/>
      <protection locked="0"/>
    </xf>
    <xf numFmtId="0" fontId="28" fillId="0" borderId="0" applyFill="0" applyBorder="0">
      <alignment vertical="top"/>
    </xf>
    <xf numFmtId="0" fontId="29" fillId="0" borderId="0" applyFill="0" applyBorder="0">
      <alignment vertical="top"/>
    </xf>
    <xf numFmtId="0" fontId="30" fillId="0" borderId="0" applyFill="0" applyBorder="0">
      <alignment vertical="top"/>
    </xf>
    <xf numFmtId="0" fontId="31" fillId="0" borderId="0" applyFill="0" applyBorder="0">
      <alignment vertical="top"/>
    </xf>
    <xf numFmtId="0" fontId="8" fillId="0" borderId="0" applyFill="0" applyBorder="0">
      <alignment horizontal="left" vertical="top"/>
      <protection hidden="1"/>
    </xf>
    <xf numFmtId="0" fontId="8" fillId="0" borderId="0" applyFill="0" applyBorder="0">
      <alignment horizontal="left" vertical="top" indent="1"/>
      <protection hidden="1"/>
    </xf>
    <xf numFmtId="0" fontId="8" fillId="0" borderId="0" applyFill="0" applyBorder="0">
      <alignment horizontal="left" vertical="top" indent="2"/>
      <protection hidden="1"/>
    </xf>
    <xf numFmtId="0" fontId="8" fillId="0" borderId="0" applyFill="0" applyBorder="0">
      <alignment horizontal="left" vertical="top" indent="3"/>
      <protection hidden="1"/>
    </xf>
    <xf numFmtId="193" fontId="8" fillId="0" borderId="0" applyNumberFormat="0" applyFill="0" applyBorder="0" applyAlignment="0" applyProtection="0">
      <protection locked="0"/>
    </xf>
    <xf numFmtId="164" fontId="4" fillId="0" borderId="0" applyFill="0" applyBorder="0">
      <alignment vertical="top"/>
      <protection locked="0"/>
    </xf>
    <xf numFmtId="184" fontId="4" fillId="0" borderId="0" applyFill="0" applyBorder="0">
      <alignment vertical="top"/>
      <protection locked="0"/>
    </xf>
    <xf numFmtId="185" fontId="4" fillId="0" borderId="0" applyFill="0" applyBorder="0">
      <alignment vertical="top"/>
      <protection locked="0"/>
    </xf>
    <xf numFmtId="165" fontId="4" fillId="0" borderId="0" applyFill="0" applyBorder="0">
      <alignment vertical="top"/>
      <protection locked="0"/>
    </xf>
    <xf numFmtId="166" fontId="4" fillId="0" borderId="0" applyFill="0" applyBorder="0">
      <alignment vertical="top"/>
      <protection locked="0"/>
    </xf>
    <xf numFmtId="167" fontId="4" fillId="0" borderId="0" applyFill="0" applyBorder="0">
      <alignment vertical="top"/>
      <protection locked="0"/>
    </xf>
    <xf numFmtId="168" fontId="4" fillId="0" borderId="0" applyFill="0" applyBorder="0">
      <alignment vertical="top"/>
      <protection locked="0"/>
    </xf>
    <xf numFmtId="183" fontId="4" fillId="0" borderId="0" applyFill="0" applyBorder="0">
      <alignment vertical="top"/>
      <protection locked="0"/>
    </xf>
    <xf numFmtId="180" fontId="4" fillId="0" borderId="0" applyFill="0" applyBorder="0">
      <alignment vertical="top"/>
      <protection locked="0"/>
    </xf>
    <xf numFmtId="181" fontId="4" fillId="0" borderId="0" applyFill="0" applyBorder="0">
      <alignment vertical="top"/>
      <protection locked="0"/>
    </xf>
    <xf numFmtId="176" fontId="4" fillId="0" borderId="0" applyFill="0" applyBorder="0">
      <alignment vertical="top"/>
      <protection locked="0"/>
    </xf>
    <xf numFmtId="182" fontId="4" fillId="0" borderId="0" applyFill="0" applyBorder="0">
      <alignment vertical="top"/>
      <protection locked="0"/>
    </xf>
    <xf numFmtId="177" fontId="4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169" fontId="9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49" fontId="4" fillId="0" borderId="0" applyFill="0" applyBorder="0">
      <alignment vertical="top"/>
      <protection locked="0"/>
    </xf>
    <xf numFmtId="49" fontId="9" fillId="0" borderId="0" applyFill="0" applyBorder="0">
      <alignment vertical="top"/>
      <protection locked="0"/>
    </xf>
    <xf numFmtId="0" fontId="4" fillId="0" borderId="0" applyFill="0" applyBorder="0">
      <alignment vertical="top" wrapText="1"/>
      <protection locked="0"/>
    </xf>
    <xf numFmtId="178" fontId="4" fillId="0" borderId="0" applyFill="0" applyBorder="0">
      <alignment vertical="top"/>
      <protection locked="0"/>
    </xf>
    <xf numFmtId="179" fontId="4" fillId="0" borderId="0" applyFill="0" applyBorder="0">
      <alignment vertical="top"/>
      <protection locked="0"/>
    </xf>
    <xf numFmtId="170" fontId="4" fillId="0" borderId="0" applyFill="0" applyBorder="0">
      <alignment vertical="top"/>
      <protection locked="0"/>
    </xf>
    <xf numFmtId="171" fontId="4" fillId="0" borderId="0" applyFill="0" applyBorder="0">
      <alignment vertical="top"/>
      <protection locked="0"/>
    </xf>
    <xf numFmtId="172" fontId="4" fillId="0" borderId="0" applyFill="0" applyBorder="0">
      <alignment vertical="top"/>
      <protection locked="0"/>
    </xf>
    <xf numFmtId="173" fontId="4" fillId="0" borderId="0" applyFill="0" applyBorder="0">
      <alignment vertical="top"/>
      <protection locked="0"/>
    </xf>
    <xf numFmtId="186" fontId="4" fillId="0" borderId="0" applyFill="0" applyBorder="0">
      <alignment vertical="top"/>
      <protection locked="0"/>
    </xf>
    <xf numFmtId="187" fontId="4" fillId="0" borderId="0" applyFill="0" applyBorder="0">
      <alignment vertical="top"/>
      <protection locked="0"/>
    </xf>
    <xf numFmtId="188" fontId="4" fillId="0" borderId="0" applyFill="0" applyBorder="0">
      <alignment vertical="top"/>
      <protection locked="0"/>
    </xf>
    <xf numFmtId="189" fontId="4" fillId="0" borderId="0" applyFill="0" applyBorder="0">
      <alignment vertical="top"/>
      <protection locked="0"/>
    </xf>
    <xf numFmtId="190" fontId="4" fillId="0" borderId="0" applyFill="0" applyBorder="0">
      <alignment vertical="top"/>
      <protection locked="0"/>
    </xf>
    <xf numFmtId="191" fontId="4" fillId="0" borderId="0" applyFill="0" applyBorder="0">
      <alignment vertical="top"/>
      <protection locked="0"/>
    </xf>
    <xf numFmtId="192" fontId="4" fillId="0" borderId="0" applyFill="0" applyBorder="0">
      <alignment vertical="top"/>
      <protection locked="0"/>
    </xf>
    <xf numFmtId="49" fontId="4" fillId="0" borderId="0" applyFill="0" applyBorder="0">
      <alignment horizontal="left" vertical="top"/>
      <protection locked="0"/>
    </xf>
    <xf numFmtId="49" fontId="4" fillId="0" borderId="0" applyFill="0" applyBorder="0">
      <alignment horizontal="left" vertical="top" indent="1"/>
      <protection locked="0"/>
    </xf>
    <xf numFmtId="49" fontId="4" fillId="0" borderId="0" applyFill="0" applyBorder="0">
      <alignment horizontal="left" vertical="top" indent="2"/>
      <protection locked="0"/>
    </xf>
    <xf numFmtId="49" fontId="4" fillId="0" borderId="0" applyFill="0" applyBorder="0">
      <alignment horizontal="left" vertical="top" indent="3"/>
      <protection locked="0"/>
    </xf>
    <xf numFmtId="49" fontId="4" fillId="0" borderId="0" applyFill="0" applyBorder="0">
      <alignment horizontal="left" vertical="top" indent="4"/>
      <protection locked="0"/>
    </xf>
    <xf numFmtId="49" fontId="4" fillId="0" borderId="0" applyFill="0" applyBorder="0">
      <alignment horizontal="center"/>
      <protection locked="0"/>
    </xf>
    <xf numFmtId="49" fontId="4" fillId="0" borderId="0" applyFill="0" applyBorder="0">
      <alignment horizontal="center" wrapText="1"/>
      <protection locked="0"/>
    </xf>
    <xf numFmtId="49" fontId="5" fillId="0" borderId="0" applyFill="0" applyBorder="0">
      <alignment vertical="top"/>
    </xf>
    <xf numFmtId="0" fontId="5" fillId="0" borderId="0" applyFill="0" applyBorder="0">
      <alignment vertical="top" wrapText="1"/>
    </xf>
    <xf numFmtId="0" fontId="3" fillId="0" borderId="0" applyFill="0" applyBorder="0">
      <alignment vertical="top"/>
    </xf>
    <xf numFmtId="0" fontId="3" fillId="0" borderId="0" applyFill="0" applyBorder="0">
      <alignment horizontal="left" vertical="top" indent="1"/>
    </xf>
    <xf numFmtId="0" fontId="3" fillId="0" borderId="0" applyFill="0" applyBorder="0">
      <alignment horizontal="left" vertical="top" indent="2"/>
    </xf>
    <xf numFmtId="0" fontId="3" fillId="0" borderId="0" applyFill="0" applyBorder="0">
      <alignment horizontal="left" vertical="top" indent="3"/>
    </xf>
    <xf numFmtId="0" fontId="5" fillId="0" borderId="0" applyFill="0" applyBorder="0">
      <alignment vertical="top"/>
    </xf>
    <xf numFmtId="0" fontId="5" fillId="0" borderId="0" applyFill="0" applyBorder="0">
      <alignment horizontal="left" vertical="top" indent="1"/>
    </xf>
    <xf numFmtId="0" fontId="5" fillId="0" borderId="0" applyFill="0" applyBorder="0">
      <alignment horizontal="left" vertical="top" indent="2"/>
    </xf>
    <xf numFmtId="0" fontId="5" fillId="0" borderId="0" applyFill="0" applyBorder="0">
      <alignment horizontal="left" vertical="top" indent="3"/>
    </xf>
    <xf numFmtId="0" fontId="5" fillId="0" borderId="0" applyFill="0" applyBorder="0">
      <alignment horizontal="left" vertical="top" indent="4"/>
    </xf>
    <xf numFmtId="177" fontId="5" fillId="0" borderId="0" applyFill="0" applyBorder="0">
      <alignment horizontal="center"/>
    </xf>
    <xf numFmtId="0" fontId="5" fillId="0" borderId="0" applyFill="0" applyBorder="0">
      <alignment horizontal="center"/>
    </xf>
    <xf numFmtId="0" fontId="5" fillId="2" borderId="0" applyFill="0" applyBorder="0">
      <alignment horizontal="left"/>
    </xf>
    <xf numFmtId="0" fontId="5" fillId="0" borderId="0" applyFill="0" applyBorder="0">
      <alignment horizontal="center" wrapText="1"/>
    </xf>
    <xf numFmtId="0" fontId="1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12" fillId="0" borderId="10" applyNumberFormat="0" applyFill="0" applyAlignment="0" applyProtection="0"/>
    <xf numFmtId="0" fontId="13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12" applyNumberFormat="0" applyAlignment="0" applyProtection="0"/>
    <xf numFmtId="0" fontId="18" fillId="7" borderId="13" applyNumberFormat="0" applyAlignment="0" applyProtection="0"/>
    <xf numFmtId="0" fontId="19" fillId="7" borderId="12" applyNumberFormat="0" applyAlignment="0" applyProtection="0"/>
    <xf numFmtId="0" fontId="20" fillId="0" borderId="14" applyNumberFormat="0" applyFill="0" applyAlignment="0" applyProtection="0"/>
    <xf numFmtId="0" fontId="21" fillId="8" borderId="15" applyNumberFormat="0" applyAlignment="0" applyProtection="0"/>
    <xf numFmtId="0" fontId="22" fillId="0" borderId="0" applyNumberFormat="0" applyFill="0" applyBorder="0" applyAlignment="0" applyProtection="0"/>
    <xf numFmtId="0" fontId="5" fillId="9" borderId="16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17" applyNumberFormat="0" applyFill="0" applyAlignment="0" applyProtection="0"/>
    <xf numFmtId="0" fontId="25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5" fillId="33" borderId="0" applyNumberFormat="0" applyBorder="0" applyAlignment="0" applyProtection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</xf>
  </cellStyleXfs>
  <cellXfs count="99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3" xfId="0" applyBorder="1">
      <alignment vertical="top"/>
    </xf>
    <xf numFmtId="0" fontId="0" fillId="0" borderId="0" xfId="0" applyBorder="1">
      <alignment vertical="top"/>
    </xf>
    <xf numFmtId="0" fontId="0" fillId="0" borderId="4" xfId="0" applyBorder="1">
      <alignment vertical="top"/>
    </xf>
    <xf numFmtId="0" fontId="5" fillId="0" borderId="3" xfId="0" applyFont="1" applyBorder="1">
      <alignment vertical="top"/>
    </xf>
    <xf numFmtId="0" fontId="0" fillId="0" borderId="0" xfId="0" applyFill="1" applyBorder="1">
      <alignment vertical="top"/>
    </xf>
    <xf numFmtId="0" fontId="3" fillId="0" borderId="0" xfId="80">
      <alignment vertical="top"/>
    </xf>
    <xf numFmtId="0" fontId="5" fillId="0" borderId="0" xfId="85">
      <alignment horizontal="left" vertical="top" indent="1"/>
    </xf>
    <xf numFmtId="0" fontId="4" fillId="0" borderId="0" xfId="57">
      <alignment vertical="top" wrapText="1"/>
      <protection locked="0"/>
    </xf>
    <xf numFmtId="0" fontId="5" fillId="0" borderId="0" xfId="86">
      <alignment horizontal="left" vertical="top" indent="2"/>
    </xf>
    <xf numFmtId="0" fontId="5" fillId="0" borderId="0" xfId="85" applyBorder="1">
      <alignment horizontal="left" vertical="top" indent="1"/>
    </xf>
    <xf numFmtId="0" fontId="5" fillId="0" borderId="0" xfId="86" applyBorder="1">
      <alignment horizontal="left" vertical="top" indent="2"/>
    </xf>
    <xf numFmtId="49" fontId="4" fillId="0" borderId="0" xfId="71">
      <alignment horizontal="left" vertical="top"/>
      <protection locked="0"/>
    </xf>
    <xf numFmtId="0" fontId="3" fillId="0" borderId="0" xfId="80" applyBorder="1">
      <alignment vertical="top"/>
    </xf>
    <xf numFmtId="0" fontId="3" fillId="0" borderId="0" xfId="81" applyBorder="1">
      <alignment horizontal="left" vertical="top" indent="1"/>
    </xf>
    <xf numFmtId="168" fontId="4" fillId="0" borderId="1" xfId="45" applyBorder="1">
      <alignment vertical="top"/>
      <protection locked="0"/>
    </xf>
    <xf numFmtId="0" fontId="3" fillId="0" borderId="0" xfId="81">
      <alignment horizontal="left" vertical="top" indent="1"/>
    </xf>
    <xf numFmtId="0" fontId="3" fillId="0" borderId="0" xfId="82" applyBorder="1">
      <alignment horizontal="left" vertical="top" indent="2"/>
    </xf>
    <xf numFmtId="0" fontId="29" fillId="34" borderId="5" xfId="31" applyFill="1" applyBorder="1">
      <alignment vertical="top"/>
    </xf>
    <xf numFmtId="0" fontId="0" fillId="34" borderId="7" xfId="0" applyFill="1" applyBorder="1">
      <alignment vertical="top"/>
    </xf>
    <xf numFmtId="0" fontId="29" fillId="34" borderId="3" xfId="31" applyFill="1" applyBorder="1">
      <alignment vertical="top"/>
    </xf>
    <xf numFmtId="0" fontId="0" fillId="34" borderId="1" xfId="0" applyFill="1" applyBorder="1">
      <alignment vertical="top"/>
    </xf>
    <xf numFmtId="0" fontId="3" fillId="34" borderId="3" xfId="0" applyFont="1" applyFill="1" applyBorder="1">
      <alignment vertical="top"/>
    </xf>
    <xf numFmtId="0" fontId="3" fillId="34" borderId="4" xfId="0" applyFont="1" applyFill="1" applyBorder="1">
      <alignment vertical="top"/>
    </xf>
    <xf numFmtId="0" fontId="0" fillId="34" borderId="2" xfId="0" applyFill="1" applyBorder="1">
      <alignment vertical="top"/>
    </xf>
    <xf numFmtId="0" fontId="0" fillId="34" borderId="6" xfId="0" applyFill="1" applyBorder="1">
      <alignment vertical="top"/>
    </xf>
    <xf numFmtId="0" fontId="0" fillId="34" borderId="0" xfId="0" applyFill="1" applyBorder="1">
      <alignment vertical="top"/>
    </xf>
    <xf numFmtId="0" fontId="5" fillId="34" borderId="3" xfId="91" applyFill="1" applyBorder="1">
      <alignment horizontal="left"/>
    </xf>
    <xf numFmtId="0" fontId="0" fillId="34" borderId="4" xfId="0" applyFill="1" applyBorder="1">
      <alignment vertical="top"/>
    </xf>
    <xf numFmtId="0" fontId="0" fillId="34" borderId="8" xfId="0" applyFill="1" applyBorder="1">
      <alignment vertical="top"/>
    </xf>
    <xf numFmtId="0" fontId="29" fillId="35" borderId="5" xfId="31" applyFill="1" applyBorder="1">
      <alignment vertical="top"/>
    </xf>
    <xf numFmtId="0" fontId="5" fillId="35" borderId="6" xfId="91" applyFill="1" applyBorder="1">
      <alignment horizontal="left"/>
    </xf>
    <xf numFmtId="0" fontId="29" fillId="35" borderId="3" xfId="31" applyFill="1" applyBorder="1">
      <alignment vertical="top"/>
    </xf>
    <xf numFmtId="0" fontId="5" fillId="35" borderId="0" xfId="91" applyFill="1" applyBorder="1">
      <alignment horizontal="left"/>
    </xf>
    <xf numFmtId="0" fontId="30" fillId="35" borderId="3" xfId="32" applyFill="1" applyBorder="1">
      <alignment vertical="top"/>
    </xf>
    <xf numFmtId="0" fontId="5" fillId="35" borderId="8" xfId="92" applyFill="1" applyBorder="1">
      <alignment horizontal="center" wrapText="1"/>
    </xf>
    <xf numFmtId="0" fontId="0" fillId="0" borderId="0" xfId="0" applyAlignment="1"/>
    <xf numFmtId="8" fontId="0" fillId="0" borderId="0" xfId="0" applyNumberFormat="1" applyAlignment="1"/>
    <xf numFmtId="15" fontId="0" fillId="0" borderId="0" xfId="0" applyNumberFormat="1" applyAlignment="1"/>
    <xf numFmtId="0" fontId="0" fillId="0" borderId="18" xfId="0" applyBorder="1" applyAlignment="1"/>
    <xf numFmtId="43" fontId="0" fillId="0" borderId="0" xfId="140" applyFont="1"/>
    <xf numFmtId="14" fontId="0" fillId="0" borderId="0" xfId="0" applyNumberFormat="1" applyAlignment="1"/>
    <xf numFmtId="0" fontId="0" fillId="36" borderId="0" xfId="0" applyFill="1">
      <alignment vertical="top"/>
    </xf>
    <xf numFmtId="0" fontId="29" fillId="36" borderId="5" xfId="31" applyFill="1" applyBorder="1">
      <alignment vertical="top"/>
    </xf>
    <xf numFmtId="0" fontId="0" fillId="36" borderId="6" xfId="0" applyFill="1" applyBorder="1">
      <alignment vertical="top"/>
    </xf>
    <xf numFmtId="0" fontId="5" fillId="36" borderId="6" xfId="91" applyFill="1" applyBorder="1">
      <alignment horizontal="left"/>
    </xf>
    <xf numFmtId="0" fontId="0" fillId="36" borderId="7" xfId="0" applyFill="1" applyBorder="1">
      <alignment vertical="top"/>
    </xf>
    <xf numFmtId="0" fontId="29" fillId="36" borderId="3" xfId="31" applyFill="1" applyBorder="1">
      <alignment vertical="top"/>
    </xf>
    <xf numFmtId="0" fontId="0" fillId="36" borderId="0" xfId="0" applyFill="1" applyBorder="1">
      <alignment vertical="top"/>
    </xf>
    <xf numFmtId="0" fontId="5" fillId="36" borderId="0" xfId="91" applyFill="1" applyBorder="1">
      <alignment horizontal="left"/>
    </xf>
    <xf numFmtId="0" fontId="0" fillId="36" borderId="1" xfId="0" applyFill="1" applyBorder="1">
      <alignment vertical="top"/>
    </xf>
    <xf numFmtId="0" fontId="30" fillId="36" borderId="3" xfId="32" applyFill="1" applyBorder="1">
      <alignment vertical="top"/>
    </xf>
    <xf numFmtId="0" fontId="0" fillId="36" borderId="0" xfId="0" applyFill="1" applyAlignment="1"/>
    <xf numFmtId="0" fontId="24" fillId="36" borderId="0" xfId="0" applyFont="1" applyFill="1" applyBorder="1" applyAlignment="1"/>
    <xf numFmtId="0" fontId="0" fillId="36" borderId="8" xfId="0" applyFill="1" applyBorder="1" applyAlignment="1"/>
    <xf numFmtId="0" fontId="32" fillId="36" borderId="4" xfId="0" applyFont="1" applyFill="1" applyBorder="1" applyAlignment="1"/>
    <xf numFmtId="0" fontId="33" fillId="36" borderId="3" xfId="0" applyFont="1" applyFill="1" applyBorder="1" applyAlignment="1"/>
    <xf numFmtId="0" fontId="33" fillId="36" borderId="0" xfId="0" applyFont="1" applyFill="1" applyBorder="1" applyAlignment="1"/>
    <xf numFmtId="0" fontId="34" fillId="36" borderId="5" xfId="31" applyFont="1" applyFill="1" applyBorder="1">
      <alignment vertical="top"/>
    </xf>
    <xf numFmtId="0" fontId="32" fillId="36" borderId="6" xfId="0" applyFont="1" applyFill="1" applyBorder="1">
      <alignment vertical="top"/>
    </xf>
    <xf numFmtId="0" fontId="32" fillId="36" borderId="6" xfId="91" applyFont="1" applyFill="1" applyBorder="1">
      <alignment horizontal="left"/>
    </xf>
    <xf numFmtId="0" fontId="32" fillId="36" borderId="7" xfId="0" applyFont="1" applyFill="1" applyBorder="1">
      <alignment vertical="top"/>
    </xf>
    <xf numFmtId="0" fontId="34" fillId="36" borderId="3" xfId="31" applyFont="1" applyFill="1" applyBorder="1">
      <alignment vertical="top"/>
    </xf>
    <xf numFmtId="0" fontId="32" fillId="36" borderId="0" xfId="0" applyFont="1" applyFill="1" applyBorder="1">
      <alignment vertical="top"/>
    </xf>
    <xf numFmtId="0" fontId="32" fillId="36" borderId="0" xfId="91" applyFont="1" applyFill="1" applyBorder="1">
      <alignment horizontal="left"/>
    </xf>
    <xf numFmtId="0" fontId="32" fillId="36" borderId="1" xfId="0" applyFont="1" applyFill="1" applyBorder="1">
      <alignment vertical="top"/>
    </xf>
    <xf numFmtId="0" fontId="32" fillId="36" borderId="0" xfId="0" applyFont="1" applyFill="1" applyBorder="1" applyAlignment="1"/>
    <xf numFmtId="0" fontId="32" fillId="36" borderId="8" xfId="0" applyFont="1" applyFill="1" applyBorder="1" applyAlignment="1"/>
    <xf numFmtId="0" fontId="32" fillId="36" borderId="2" xfId="92" applyFont="1" applyFill="1" applyBorder="1">
      <alignment horizontal="center" wrapText="1"/>
    </xf>
    <xf numFmtId="15" fontId="0" fillId="37" borderId="0" xfId="0" applyNumberFormat="1" applyFill="1" applyAlignment="1"/>
    <xf numFmtId="0" fontId="0" fillId="37" borderId="0" xfId="0" applyFill="1" applyAlignment="1"/>
    <xf numFmtId="8" fontId="0" fillId="37" borderId="0" xfId="0" applyNumberFormat="1" applyFill="1" applyAlignment="1"/>
    <xf numFmtId="8" fontId="0" fillId="36" borderId="0" xfId="0" applyNumberFormat="1" applyFill="1" applyAlignment="1"/>
    <xf numFmtId="15" fontId="0" fillId="36" borderId="0" xfId="0" applyNumberFormat="1" applyFill="1" applyAlignment="1"/>
    <xf numFmtId="0" fontId="32" fillId="36" borderId="4" xfId="0" applyFont="1" applyFill="1" applyBorder="1">
      <alignment vertical="top"/>
    </xf>
    <xf numFmtId="176" fontId="5" fillId="0" borderId="0" xfId="11">
      <alignment vertical="top"/>
    </xf>
    <xf numFmtId="166" fontId="5" fillId="0" borderId="0" xfId="5">
      <alignment vertical="top"/>
    </xf>
    <xf numFmtId="194" fontId="5" fillId="0" borderId="0" xfId="11" applyNumberFormat="1">
      <alignment vertical="top"/>
    </xf>
    <xf numFmtId="0" fontId="0" fillId="36" borderId="19" xfId="0" applyFill="1" applyBorder="1">
      <alignment vertical="top"/>
    </xf>
    <xf numFmtId="194" fontId="5" fillId="0" borderId="0" xfId="11" applyNumberFormat="1" applyAlignment="1"/>
    <xf numFmtId="43" fontId="0" fillId="0" borderId="0" xfId="140" applyFont="1" applyAlignment="1">
      <alignment vertical="top"/>
    </xf>
    <xf numFmtId="166" fontId="0" fillId="0" borderId="0" xfId="5" applyFont="1">
      <alignment vertical="top"/>
    </xf>
    <xf numFmtId="164" fontId="5" fillId="0" borderId="0" xfId="1">
      <alignment vertical="top"/>
    </xf>
    <xf numFmtId="43" fontId="0" fillId="0" borderId="0" xfId="140" applyFont="1" applyAlignment="1"/>
    <xf numFmtId="0" fontId="32" fillId="36" borderId="19" xfId="0" applyFont="1" applyFill="1" applyBorder="1">
      <alignment vertical="top"/>
    </xf>
    <xf numFmtId="0" fontId="5" fillId="35" borderId="7" xfId="91" applyFill="1" applyBorder="1">
      <alignment horizontal="left"/>
    </xf>
    <xf numFmtId="0" fontId="5" fillId="35" borderId="1" xfId="91" applyFill="1" applyBorder="1">
      <alignment horizontal="left"/>
    </xf>
    <xf numFmtId="0" fontId="5" fillId="35" borderId="2" xfId="92" applyFill="1" applyBorder="1">
      <alignment horizontal="center" wrapText="1"/>
    </xf>
    <xf numFmtId="166" fontId="5" fillId="35" borderId="8" xfId="5" applyFill="1" applyBorder="1">
      <alignment vertical="top"/>
    </xf>
    <xf numFmtId="0" fontId="35" fillId="35" borderId="0" xfId="91" applyFont="1" applyFill="1" applyBorder="1">
      <alignment horizontal="left"/>
    </xf>
    <xf numFmtId="194" fontId="0" fillId="0" borderId="0" xfId="11" applyNumberFormat="1" applyFont="1">
      <alignment vertical="top"/>
    </xf>
    <xf numFmtId="0" fontId="36" fillId="36" borderId="0" xfId="91" applyFont="1" applyFill="1" applyBorder="1">
      <alignment horizontal="left"/>
    </xf>
    <xf numFmtId="0" fontId="27" fillId="0" borderId="0" xfId="141" applyAlignment="1" applyProtection="1">
      <alignment vertical="top" wrapText="1"/>
      <protection locked="0"/>
    </xf>
    <xf numFmtId="174" fontId="5" fillId="0" borderId="0" xfId="9">
      <alignment vertical="top"/>
    </xf>
    <xf numFmtId="0" fontId="35" fillId="0" borderId="0" xfId="0" applyFont="1">
      <alignment vertical="top"/>
    </xf>
    <xf numFmtId="0" fontId="32" fillId="35" borderId="4" xfId="92" applyFont="1" applyFill="1" applyBorder="1">
      <alignment horizontal="center" wrapText="1"/>
    </xf>
    <xf numFmtId="0" fontId="32" fillId="36" borderId="4" xfId="0" applyFont="1" applyFill="1" applyBorder="1" applyAlignment="1">
      <alignment horizontal="center" vertical="top"/>
    </xf>
  </cellXfs>
  <cellStyles count="142">
    <cellStyle name="20% - Accent1" xfId="111" builtinId="30" hidden="1"/>
    <cellStyle name="20% - Accent2" xfId="115" builtinId="34" hidden="1"/>
    <cellStyle name="20% - Accent3" xfId="119" builtinId="38" hidden="1"/>
    <cellStyle name="20% - Accent4" xfId="123" builtinId="42" hidden="1"/>
    <cellStyle name="20% - Accent5" xfId="127" builtinId="46" hidden="1"/>
    <cellStyle name="20% - Accent6" xfId="131" builtinId="50" hidden="1"/>
    <cellStyle name="40% - Accent1" xfId="112" builtinId="31" hidden="1"/>
    <cellStyle name="40% - Accent2" xfId="116" builtinId="35" hidden="1"/>
    <cellStyle name="40% - Accent3" xfId="120" builtinId="39" hidden="1"/>
    <cellStyle name="40% - Accent4" xfId="124" builtinId="43" hidden="1"/>
    <cellStyle name="40% - Accent5" xfId="128" builtinId="47" hidden="1"/>
    <cellStyle name="40% - Accent6" xfId="132" builtinId="51" hidden="1"/>
    <cellStyle name="60% - Accent1" xfId="113" builtinId="32" hidden="1"/>
    <cellStyle name="60% - Accent2" xfId="117" builtinId="36" hidden="1"/>
    <cellStyle name="60% - Accent3" xfId="121" builtinId="40" hidden="1"/>
    <cellStyle name="60% - Accent4" xfId="125" builtinId="44" hidden="1"/>
    <cellStyle name="60% - Accent5" xfId="129" builtinId="48" hidden="1"/>
    <cellStyle name="60% - Accent6" xfId="133" builtinId="52" hidden="1"/>
    <cellStyle name="Accent1" xfId="110" builtinId="29" hidden="1"/>
    <cellStyle name="Accent2" xfId="114" builtinId="33" hidden="1"/>
    <cellStyle name="Accent3" xfId="118" builtinId="37" hidden="1"/>
    <cellStyle name="Accent4" xfId="122" builtinId="41" hidden="1"/>
    <cellStyle name="Accent5" xfId="126" builtinId="45" hidden="1"/>
    <cellStyle name="Accent6" xfId="130" builtinId="49" hidden="1"/>
    <cellStyle name="Bad" xfId="99" builtinId="27" hidden="1"/>
    <cellStyle name="Calculation" xfId="103" builtinId="22" hidden="1"/>
    <cellStyle name="cc0 -CalComma" xfId="1" xr:uid="{00000000-0005-0000-0000-00001A000000}"/>
    <cellStyle name="cc0k -CalCommaThousand" xfId="2" xr:uid="{00000000-0005-0000-0000-00001B000000}"/>
    <cellStyle name="cc0m -CalCommaMillion" xfId="3" xr:uid="{00000000-0005-0000-0000-00001C000000}"/>
    <cellStyle name="cc1 -CalComma" xfId="4" xr:uid="{00000000-0005-0000-0000-00001D000000}"/>
    <cellStyle name="cc2 -CalComma" xfId="5" xr:uid="{00000000-0005-0000-0000-00001E000000}"/>
    <cellStyle name="cc3 -CalComma" xfId="6" xr:uid="{00000000-0005-0000-0000-00001F000000}"/>
    <cellStyle name="cc4 -CalComma" xfId="7" xr:uid="{00000000-0005-0000-0000-000020000000}"/>
    <cellStyle name="cdDMM -CalDate" xfId="8" xr:uid="{00000000-0005-0000-0000-000021000000}"/>
    <cellStyle name="cdDMMY -CalDate" xfId="9" xr:uid="{00000000-0005-0000-0000-000022000000}"/>
    <cellStyle name="cdDMMYHM -CalDateTime" xfId="10" xr:uid="{00000000-0005-0000-0000-000023000000}"/>
    <cellStyle name="cdDMY -CalDate" xfId="11" xr:uid="{00000000-0005-0000-0000-000024000000}"/>
    <cellStyle name="cdMDY -CalDate" xfId="12" xr:uid="{00000000-0005-0000-0000-000025000000}"/>
    <cellStyle name="cdMMY -CalDate" xfId="13" xr:uid="{00000000-0005-0000-0000-000026000000}"/>
    <cellStyle name="cdMMYc-CalDateC" xfId="14" xr:uid="{00000000-0005-0000-0000-000027000000}"/>
    <cellStyle name="cf0 -CalFixed" xfId="15" xr:uid="{00000000-0005-0000-0000-000028000000}"/>
    <cellStyle name="Check Cell" xfId="105" builtinId="23" hidden="1"/>
    <cellStyle name="cmHM  -CalTime" xfId="16" xr:uid="{00000000-0005-0000-0000-00002A000000}"/>
    <cellStyle name="cmHM24+ -CalTime" xfId="17" xr:uid="{00000000-0005-0000-0000-00002B000000}"/>
    <cellStyle name="Comma" xfId="134" builtinId="3" hidden="1"/>
    <cellStyle name="Comma" xfId="140" builtinId="3"/>
    <cellStyle name="Comma [0]" xfId="135" builtinId="6" hidden="1"/>
    <cellStyle name="cp0 -CalPercent" xfId="18" xr:uid="{00000000-0005-0000-0000-00002E000000}"/>
    <cellStyle name="cp1 -CalPercent" xfId="19" xr:uid="{00000000-0005-0000-0000-00002F000000}"/>
    <cellStyle name="cp2 -CalPercent" xfId="20" xr:uid="{00000000-0005-0000-0000-000030000000}"/>
    <cellStyle name="cp3 -CalPercent" xfId="21" xr:uid="{00000000-0005-0000-0000-000031000000}"/>
    <cellStyle name="cr0 -CalCurr" xfId="22" xr:uid="{00000000-0005-0000-0000-000032000000}"/>
    <cellStyle name="cr0k -CalCurrThousand" xfId="23" xr:uid="{00000000-0005-0000-0000-000033000000}"/>
    <cellStyle name="cr0m -CalCurrMillion" xfId="24" xr:uid="{00000000-0005-0000-0000-000034000000}"/>
    <cellStyle name="cr1 -CalCurr" xfId="25" xr:uid="{00000000-0005-0000-0000-000035000000}"/>
    <cellStyle name="cr2 -CalCurr" xfId="26" xr:uid="{00000000-0005-0000-0000-000036000000}"/>
    <cellStyle name="cr3 -CalCurr" xfId="27" xr:uid="{00000000-0005-0000-0000-000037000000}"/>
    <cellStyle name="cr4 -CalCurr" xfId="28" xr:uid="{00000000-0005-0000-0000-000038000000}"/>
    <cellStyle name="Currency" xfId="136" builtinId="4" hidden="1"/>
    <cellStyle name="Currency [0]" xfId="137" builtinId="7" hidden="1"/>
    <cellStyle name="Explanatory Text" xfId="108" builtinId="53" hidden="1"/>
    <cellStyle name="Followed Hyperlink" xfId="29" builtinId="9" hidden="1"/>
    <cellStyle name="Good" xfId="98" builtinId="26" hidden="1"/>
    <cellStyle name="h0 -Heading" xfId="30" xr:uid="{00000000-0005-0000-0000-00003E000000}"/>
    <cellStyle name="h1 -Heading" xfId="31" xr:uid="{00000000-0005-0000-0000-00003F000000}"/>
    <cellStyle name="h2 -Heading" xfId="32" xr:uid="{00000000-0005-0000-0000-000040000000}"/>
    <cellStyle name="h3 -Heading" xfId="33" xr:uid="{00000000-0005-0000-0000-000041000000}"/>
    <cellStyle name="Heading 1" xfId="94" builtinId="16" hidden="1"/>
    <cellStyle name="Heading 2" xfId="95" builtinId="17" hidden="1"/>
    <cellStyle name="Heading 3" xfId="96" builtinId="18" hidden="1"/>
    <cellStyle name="Heading 4" xfId="97" builtinId="19" hidden="1"/>
    <cellStyle name="hp0 -Hyperlink" xfId="34" xr:uid="{00000000-0005-0000-0000-000046000000}"/>
    <cellStyle name="hp1 -Hyperlink" xfId="35" xr:uid="{00000000-0005-0000-0000-000047000000}"/>
    <cellStyle name="hp2 -Hyperlink" xfId="36" xr:uid="{00000000-0005-0000-0000-000048000000}"/>
    <cellStyle name="hp3 -Hyperlink" xfId="37" xr:uid="{00000000-0005-0000-0000-000049000000}"/>
    <cellStyle name="Hyperlink" xfId="38" builtinId="8" hidden="1"/>
    <cellStyle name="Hyperlink" xfId="139" builtinId="8" hidden="1"/>
    <cellStyle name="Hyperlink" xfId="141" builtinId="8"/>
    <cellStyle name="ic0 -InpComma" xfId="39" xr:uid="{00000000-0005-0000-0000-00004C000000}"/>
    <cellStyle name="ic0k -InpCommaThousand" xfId="40" xr:uid="{00000000-0005-0000-0000-00004D000000}"/>
    <cellStyle name="ic0m -InpCommaMillion" xfId="41" xr:uid="{00000000-0005-0000-0000-00004E000000}"/>
    <cellStyle name="ic1 -InpComma" xfId="42" xr:uid="{00000000-0005-0000-0000-00004F000000}"/>
    <cellStyle name="ic2 -InpComma" xfId="43" xr:uid="{00000000-0005-0000-0000-000050000000}"/>
    <cellStyle name="ic3 -InpComma" xfId="44" xr:uid="{00000000-0005-0000-0000-000051000000}"/>
    <cellStyle name="ic4 -InpComma" xfId="45" xr:uid="{00000000-0005-0000-0000-000052000000}"/>
    <cellStyle name="idDMM -InpDate" xfId="46" xr:uid="{00000000-0005-0000-0000-000053000000}"/>
    <cellStyle name="idDMMY -InpDate" xfId="47" xr:uid="{00000000-0005-0000-0000-000054000000}"/>
    <cellStyle name="idDMMYHM -InpDateTime" xfId="48" xr:uid="{00000000-0005-0000-0000-000055000000}"/>
    <cellStyle name="idDMY -InpDate" xfId="49" xr:uid="{00000000-0005-0000-0000-000056000000}"/>
    <cellStyle name="idMDY -InpDate" xfId="50" xr:uid="{00000000-0005-0000-0000-000057000000}"/>
    <cellStyle name="idMMY -InpDate" xfId="51" xr:uid="{00000000-0005-0000-0000-000058000000}"/>
    <cellStyle name="if0 -InpFixed" xfId="52" xr:uid="{00000000-0005-0000-0000-000059000000}"/>
    <cellStyle name="if0b-InpFixedB" xfId="53" xr:uid="{00000000-0005-0000-0000-00005A000000}"/>
    <cellStyle name="if0-InpFixed" xfId="54" xr:uid="{00000000-0005-0000-0000-00005B000000}"/>
    <cellStyle name="iln -InpTableTextNoWrap" xfId="55" xr:uid="{00000000-0005-0000-0000-00005C000000}"/>
    <cellStyle name="ilnb-InpTableTextNoWrapB" xfId="56" xr:uid="{00000000-0005-0000-0000-00005D000000}"/>
    <cellStyle name="ilw -InpTableTextWrap" xfId="57" xr:uid="{00000000-0005-0000-0000-00005E000000}"/>
    <cellStyle name="imHM  -InpTime" xfId="58" xr:uid="{00000000-0005-0000-0000-00005F000000}"/>
    <cellStyle name="imHM24+ -InpTime" xfId="59" xr:uid="{00000000-0005-0000-0000-000060000000}"/>
    <cellStyle name="Input" xfId="101" builtinId="20" hidden="1"/>
    <cellStyle name="ip0 -InpPercent" xfId="60" xr:uid="{00000000-0005-0000-0000-000062000000}"/>
    <cellStyle name="ip1 -InpPercent" xfId="61" xr:uid="{00000000-0005-0000-0000-000063000000}"/>
    <cellStyle name="ip2 -InpPercent" xfId="62" xr:uid="{00000000-0005-0000-0000-000064000000}"/>
    <cellStyle name="ip3 -InpPercent" xfId="63" xr:uid="{00000000-0005-0000-0000-000065000000}"/>
    <cellStyle name="ir0 -InpCurr" xfId="64" xr:uid="{00000000-0005-0000-0000-000066000000}"/>
    <cellStyle name="ir0k -InpCurrThousand" xfId="65" xr:uid="{00000000-0005-0000-0000-000067000000}"/>
    <cellStyle name="ir0m -InpCurrMillion" xfId="66" xr:uid="{00000000-0005-0000-0000-000068000000}"/>
    <cellStyle name="ir1 -InpCurr" xfId="67" xr:uid="{00000000-0005-0000-0000-000069000000}"/>
    <cellStyle name="ir2 -InpCurr" xfId="68" xr:uid="{00000000-0005-0000-0000-00006A000000}"/>
    <cellStyle name="ir3 -InpCurr" xfId="69" xr:uid="{00000000-0005-0000-0000-00006B000000}"/>
    <cellStyle name="ir4 -InpCurr" xfId="70" xr:uid="{00000000-0005-0000-0000-00006C000000}"/>
    <cellStyle name="is0 -InpSideText" xfId="71" xr:uid="{00000000-0005-0000-0000-00006D000000}"/>
    <cellStyle name="is1 -InpSideText" xfId="72" xr:uid="{00000000-0005-0000-0000-00006E000000}"/>
    <cellStyle name="is2 -InpSideText" xfId="73" xr:uid="{00000000-0005-0000-0000-00006F000000}"/>
    <cellStyle name="is3 -InpSideText" xfId="74" xr:uid="{00000000-0005-0000-0000-000070000000}"/>
    <cellStyle name="is4 -InpSideText" xfId="75" xr:uid="{00000000-0005-0000-0000-000071000000}"/>
    <cellStyle name="itn -InpTopTextNoWrap" xfId="76" xr:uid="{00000000-0005-0000-0000-000072000000}"/>
    <cellStyle name="itw -InpTopTextWrap" xfId="77" xr:uid="{00000000-0005-0000-0000-000073000000}"/>
    <cellStyle name="Linked Cell" xfId="104" builtinId="24" hidden="1"/>
    <cellStyle name="ltn -TableTextNoWrap" xfId="78" xr:uid="{00000000-0005-0000-0000-000075000000}"/>
    <cellStyle name="ltw -TableTextWrap" xfId="79" xr:uid="{00000000-0005-0000-0000-000076000000}"/>
    <cellStyle name="Neutral" xfId="100" builtinId="28" hidden="1"/>
    <cellStyle name="Normal" xfId="0" builtinId="0" customBuiltin="1"/>
    <cellStyle name="Note" xfId="107" builtinId="10" hidden="1"/>
    <cellStyle name="Output" xfId="102" builtinId="21" hidden="1"/>
    <cellStyle name="Percent" xfId="138" builtinId="5" hidden="1"/>
    <cellStyle name="sh0 -SideHeading" xfId="80" xr:uid="{00000000-0005-0000-0000-00007C000000}"/>
    <cellStyle name="sh1 -SideHeading" xfId="81" xr:uid="{00000000-0005-0000-0000-00007D000000}"/>
    <cellStyle name="sh2 -SideHeading" xfId="82" xr:uid="{00000000-0005-0000-0000-00007E000000}"/>
    <cellStyle name="sh3 -SideHeading" xfId="83" xr:uid="{00000000-0005-0000-0000-00007F000000}"/>
    <cellStyle name="st0 -SideText" xfId="84" xr:uid="{00000000-0005-0000-0000-000080000000}"/>
    <cellStyle name="st1 -SideText" xfId="85" xr:uid="{00000000-0005-0000-0000-000081000000}"/>
    <cellStyle name="st2 -SideText" xfId="86" xr:uid="{00000000-0005-0000-0000-000082000000}"/>
    <cellStyle name="st3 -SideText" xfId="87" xr:uid="{00000000-0005-0000-0000-000083000000}"/>
    <cellStyle name="st4 -SideText" xfId="88" xr:uid="{00000000-0005-0000-0000-000084000000}"/>
    <cellStyle name="tdMMYc-TopDateC" xfId="89" xr:uid="{00000000-0005-0000-0000-000085000000}"/>
    <cellStyle name="Title" xfId="93" builtinId="15" hidden="1"/>
    <cellStyle name="Total" xfId="109" builtinId="25" hidden="1"/>
    <cellStyle name="ttn -TopTextNoWrap" xfId="90" xr:uid="{00000000-0005-0000-0000-000088000000}"/>
    <cellStyle name="ttnl -TopTextNoWrapL" xfId="91" xr:uid="{00000000-0005-0000-0000-000089000000}"/>
    <cellStyle name="ttw -TopTextWrap" xfId="92" xr:uid="{00000000-0005-0000-0000-00008A000000}"/>
    <cellStyle name="Warning Text" xfId="106" builtinId="11" hidden="1"/>
  </cellStyles>
  <dxfs count="84"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66" formatCode="#,##0.00_);\(#,##0.00\);0.00_);* @_)"/>
    </dxf>
    <dxf>
      <numFmt numFmtId="166" formatCode="#,##0.00_);\(#,##0.00\);0.00_);* 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94" formatCode="d/mm/yyyy;[Red]* &quot;Not date&quot;;&quot;-&quot;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64" formatCode="#,##0_);\(#,##0\);0_);* @_)"/>
    </dxf>
    <dxf>
      <numFmt numFmtId="164" formatCode="#,##0_);\(#,##0\);0_);* @_)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border>
        <bottom style="medium">
          <color indexed="64"/>
        </bottom>
      </border>
    </dxf>
    <dxf>
      <alignment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solid">
          <fgColor indexed="64"/>
          <bgColor rgb="FFD8E4BC"/>
        </patternFill>
      </fill>
      <border diagonalUp="0" diagonalDown="0" outline="0">
        <left/>
        <right/>
        <top/>
        <bottom/>
      </border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" formatCode="d/mm/yyyy"/>
      <alignment horizontal="general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</dxf>
    <dxf>
      <fill>
        <patternFill>
          <bgColor rgb="FFEBF1DE"/>
        </patternFill>
      </fill>
    </dxf>
    <dxf>
      <fill>
        <patternFill patternType="none">
          <bgColor auto="1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rgb="FFFFFFFF"/>
        </patternFill>
      </fill>
      <border>
        <left/>
        <right/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  <horizontal style="thin">
          <color theme="0" tint="-0.14996795556505021"/>
        </horizontal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</dxfs>
  <tableStyles count="7" defaultTableStyle="ESPTable" defaultPivotStyle="ESPPivotTable">
    <tableStyle name="ESPPivotTable" table="0" count="11" xr9:uid="{00000000-0011-0000-FFFF-FFFF00000000}">
      <tableStyleElement type="wholeTable" dxfId="83"/>
      <tableStyleElement type="headerRow" dxfId="82"/>
      <tableStyleElement type="totalRow" dxfId="81"/>
      <tableStyleElement type="firstRowStripe" dxfId="80"/>
      <tableStyleElement type="firstColumnStripe" dxfId="79"/>
      <tableStyleElement type="firstSubtotalRow" dxfId="78"/>
      <tableStyleElement type="secondSubtotalRow" dxfId="77"/>
      <tableStyleElement type="firstRowSubheading" dxfId="76"/>
      <tableStyleElement type="secondRowSubheading" dxfId="75"/>
      <tableStyleElement type="pageFieldLabels" dxfId="74"/>
      <tableStyleElement type="pageFieldValues" dxfId="73"/>
    </tableStyle>
    <tableStyle name="ESPPivotTable 2" table="0" count="11" xr9:uid="{00000000-0011-0000-FFFF-FFFF01000000}">
      <tableStyleElement type="wholeTable" dxfId="72"/>
      <tableStyleElement type="headerRow" dxfId="71"/>
      <tableStyleElement type="totalRow" dxfId="70"/>
      <tableStyleElement type="firstRowStripe" dxfId="69"/>
      <tableStyleElement type="firstColumnStripe" dxfId="68"/>
      <tableStyleElement type="firstSubtotalRow" dxfId="67"/>
      <tableStyleElement type="secondSubtotalRow" dxfId="66"/>
      <tableStyleElement type="firstRowSubheading" dxfId="65"/>
      <tableStyleElement type="secondRowSubheading" dxfId="64"/>
      <tableStyleElement type="pageFieldLabels" dxfId="63"/>
      <tableStyleElement type="pageFieldValues" dxfId="62"/>
    </tableStyle>
    <tableStyle name="ESPSlicer" pivot="0" table="0" count="10" xr9:uid="{00000000-0011-0000-FFFF-FFFF02000000}">
      <tableStyleElement type="wholeTable" dxfId="61"/>
      <tableStyleElement type="headerRow" dxfId="60"/>
    </tableStyle>
    <tableStyle name="ESPSlicer 2" pivot="0" table="0" count="10" xr9:uid="{00000000-0011-0000-FFFF-FFFF03000000}">
      <tableStyleElement type="wholeTable" dxfId="59"/>
      <tableStyleElement type="headerRow" dxfId="58"/>
    </tableStyle>
    <tableStyle name="ESPTable" pivot="0" count="5" xr9:uid="{00000000-0011-0000-FFFF-FFFF04000000}">
      <tableStyleElement type="wholeTable" dxfId="57"/>
      <tableStyleElement type="headerRow" dxfId="56"/>
      <tableStyleElement type="totalRow" dxfId="55"/>
      <tableStyleElement type="firstRowStripe" dxfId="54"/>
      <tableStyleElement type="firstColumnStripe" dxfId="53"/>
    </tableStyle>
    <tableStyle name="ESPTimeLine" pivot="0" table="0" count="9" xr9:uid="{00000000-0011-0000-FFFF-FFFF05000000}">
      <tableStyleElement type="wholeTable" dxfId="52"/>
      <tableStyleElement type="headerRow" dxfId="51"/>
    </tableStyle>
    <tableStyle name="ESPTimeLine 2" pivot="0" table="0" count="9" xr9:uid="{00000000-0011-0000-FFFF-FFFF06000000}">
      <tableStyleElement type="wholeTable" dxfId="50"/>
      <tableStyleElement type="headerRow" dxfId="4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  <mruColors>
      <color rgb="FFFFFFFF"/>
      <color rgb="FFF2F2F2"/>
      <color rgb="FFD8E4BC"/>
      <color rgb="FFEBF1DE"/>
      <color rgb="FFC4D79B"/>
      <color rgb="FF818080"/>
      <color rgb="FFDA9694"/>
      <color rgb="FFC4D69B"/>
      <color rgb="FFC0BFBF"/>
      <color rgb="FFD9E4BC"/>
    </mruColors>
  </colors>
  <extLst>
    <ext xmlns:x14="http://schemas.microsoft.com/office/spreadsheetml/2009/9/main" uri="{46F421CA-312F-682f-3DD2-61675219B42D}">
      <x14:dxfs count="16"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PSlicer">
        <x14:slicerStyle name="ESP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PSlicer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ESPTimeLine">
        <x15:timelineStyle name="ESPTimeLine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ESPTimeLine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108857</xdr:colOff>
          <xdr:row>10</xdr:row>
          <xdr:rowOff>43543</xdr:rowOff>
        </xdr:from>
        <xdr:to>
          <xdr:col>13</xdr:col>
          <xdr:colOff>272143</xdr:colOff>
          <xdr:row>11</xdr:row>
          <xdr:rowOff>185057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1638300</xdr:colOff>
      <xdr:row>15</xdr:row>
      <xdr:rowOff>16329</xdr:rowOff>
    </xdr:from>
    <xdr:to>
      <xdr:col>19</xdr:col>
      <xdr:colOff>310243</xdr:colOff>
      <xdr:row>19</xdr:row>
      <xdr:rowOff>65315</xdr:rowOff>
    </xdr:to>
    <xdr:cxnSp macro="">
      <xdr:nvCxnSpPr>
        <xdr:cNvPr id="34" name="ESPTextArrowA10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>
        <a:xfrm flipH="1">
          <a:off x="17150443" y="2144486"/>
          <a:ext cx="353786" cy="5715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881743</xdr:colOff>
      <xdr:row>11</xdr:row>
      <xdr:rowOff>59872</xdr:rowOff>
    </xdr:from>
    <xdr:to>
      <xdr:col>18</xdr:col>
      <xdr:colOff>1066800</xdr:colOff>
      <xdr:row>14</xdr:row>
      <xdr:rowOff>38100</xdr:rowOff>
    </xdr:to>
    <xdr:cxnSp macro="">
      <xdr:nvCxnSpPr>
        <xdr:cNvPr id="30" name="ESPTextArrowA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 flipH="1" flipV="1">
          <a:off x="16393886" y="1567543"/>
          <a:ext cx="185057" cy="468086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312057</xdr:colOff>
      <xdr:row>12</xdr:row>
      <xdr:rowOff>1815</xdr:rowOff>
    </xdr:from>
    <xdr:to>
      <xdr:col>15</xdr:col>
      <xdr:colOff>506185</xdr:colOff>
      <xdr:row>14</xdr:row>
      <xdr:rowOff>59871</xdr:rowOff>
    </xdr:to>
    <xdr:cxnSp macro="">
      <xdr:nvCxnSpPr>
        <xdr:cNvPr id="26" name="ESPTextArrowA8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>
          <a:off x="12101286" y="1705429"/>
          <a:ext cx="194128" cy="351971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605971</xdr:colOff>
      <xdr:row>14</xdr:row>
      <xdr:rowOff>105228</xdr:rowOff>
    </xdr:from>
    <xdr:to>
      <xdr:col>15</xdr:col>
      <xdr:colOff>185057</xdr:colOff>
      <xdr:row>17</xdr:row>
      <xdr:rowOff>91849</xdr:rowOff>
    </xdr:to>
    <xdr:cxnSp macro="">
      <xdr:nvCxnSpPr>
        <xdr:cNvPr id="24" name="ESPTextArrowA7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>
          <a:endCxn id="25" idx="1"/>
        </xdr:cNvCxnSpPr>
      </xdr:nvCxnSpPr>
      <xdr:spPr>
        <a:xfrm>
          <a:off x="11763828" y="2102757"/>
          <a:ext cx="210458" cy="378506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605971</xdr:colOff>
      <xdr:row>15</xdr:row>
      <xdr:rowOff>105229</xdr:rowOff>
    </xdr:from>
    <xdr:to>
      <xdr:col>14</xdr:col>
      <xdr:colOff>76200</xdr:colOff>
      <xdr:row>19</xdr:row>
      <xdr:rowOff>103415</xdr:rowOff>
    </xdr:to>
    <xdr:cxnSp macro="">
      <xdr:nvCxnSpPr>
        <xdr:cNvPr id="21" name="ESPTextArrowA6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>
          <a:off x="11132457" y="2233386"/>
          <a:ext cx="101600" cy="5207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605971</xdr:colOff>
      <xdr:row>11</xdr:row>
      <xdr:rowOff>92529</xdr:rowOff>
    </xdr:from>
    <xdr:to>
      <xdr:col>13</xdr:col>
      <xdr:colOff>212271</xdr:colOff>
      <xdr:row>14</xdr:row>
      <xdr:rowOff>105228</xdr:rowOff>
    </xdr:to>
    <xdr:cxnSp macro="">
      <xdr:nvCxnSpPr>
        <xdr:cNvPr id="12" name="ESPTextArrowA5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CxnSpPr/>
      </xdr:nvCxnSpPr>
      <xdr:spPr>
        <a:xfrm flipV="1">
          <a:off x="10501085" y="1600200"/>
          <a:ext cx="237672" cy="502557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206828</xdr:colOff>
      <xdr:row>14</xdr:row>
      <xdr:rowOff>125186</xdr:rowOff>
    </xdr:from>
    <xdr:to>
      <xdr:col>7</xdr:col>
      <xdr:colOff>244928</xdr:colOff>
      <xdr:row>18</xdr:row>
      <xdr:rowOff>38100</xdr:rowOff>
    </xdr:to>
    <xdr:cxnSp macro="">
      <xdr:nvCxnSpPr>
        <xdr:cNvPr id="8" name="ESPTextArrowA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>
          <a:off x="6384471" y="2122715"/>
          <a:ext cx="38100" cy="435428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255814</xdr:colOff>
      <xdr:row>19</xdr:row>
      <xdr:rowOff>92529</xdr:rowOff>
    </xdr:from>
    <xdr:to>
      <xdr:col>8</xdr:col>
      <xdr:colOff>413657</xdr:colOff>
      <xdr:row>21</xdr:row>
      <xdr:rowOff>65314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 flipH="1">
          <a:off x="6955971" y="2743200"/>
          <a:ext cx="157843" cy="23404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497114</xdr:colOff>
      <xdr:row>14</xdr:row>
      <xdr:rowOff>105228</xdr:rowOff>
    </xdr:from>
    <xdr:to>
      <xdr:col>10</xdr:col>
      <xdr:colOff>1513114</xdr:colOff>
      <xdr:row>23</xdr:row>
      <xdr:rowOff>16328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7719785" y="2102757"/>
          <a:ext cx="1538515" cy="1086757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1518555</xdr:colOff>
      <xdr:row>23</xdr:row>
      <xdr:rowOff>48986</xdr:rowOff>
    </xdr:from>
    <xdr:to>
      <xdr:col>16</xdr:col>
      <xdr:colOff>1262742</xdr:colOff>
      <xdr:row>24</xdr:row>
      <xdr:rowOff>108858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9263741" y="3222172"/>
          <a:ext cx="4441372" cy="1905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=IF(CELL("format",[@Bank])="D1",ROW([@Bank])-ROW(dtbBankVXL[[#Headers],[Bank]]),"")</a:t>
          </a:r>
        </a:p>
      </xdr:txBody>
    </xdr:sp>
    <xdr:clientData/>
  </xdr:twoCellAnchor>
  <xdr:twoCellAnchor>
    <xdr:from>
      <xdr:col>7</xdr:col>
      <xdr:colOff>87086</xdr:colOff>
      <xdr:row>21</xdr:row>
      <xdr:rowOff>87085</xdr:rowOff>
    </xdr:from>
    <xdr:to>
      <xdr:col>9</xdr:col>
      <xdr:colOff>97428</xdr:colOff>
      <xdr:row>22</xdr:row>
      <xdr:rowOff>118382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6264729" y="2999014"/>
          <a:ext cx="105537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=COUNT(J$14:J20)</a:t>
          </a:r>
        </a:p>
      </xdr:txBody>
    </xdr:sp>
    <xdr:clientData/>
  </xdr:twoCellAnchor>
  <xdr:twoCellAnchor>
    <xdr:from>
      <xdr:col>8</xdr:col>
      <xdr:colOff>152400</xdr:colOff>
      <xdr:row>16</xdr:row>
      <xdr:rowOff>21771</xdr:rowOff>
    </xdr:from>
    <xdr:to>
      <xdr:col>10</xdr:col>
      <xdr:colOff>186871</xdr:colOff>
      <xdr:row>17</xdr:row>
      <xdr:rowOff>53068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852557" y="2280557"/>
          <a:ext cx="1079500" cy="161925"/>
        </a:xfrm>
        <a:prstGeom prst="rect">
          <a:avLst/>
        </a:prstGeom>
        <a:noFill/>
        <a:ln w="317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 cmpd="sng">
              <a:solidFill>
                <a:srgbClr val="994807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endParaRPr lang="en-NZ" sz="800">
            <a:solidFill>
              <a:srgbClr val="974706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506185</xdr:colOff>
      <xdr:row>17</xdr:row>
      <xdr:rowOff>92528</xdr:rowOff>
    </xdr:from>
    <xdr:to>
      <xdr:col>10</xdr:col>
      <xdr:colOff>533400</xdr:colOff>
      <xdr:row>19</xdr:row>
      <xdr:rowOff>16329</xdr:rowOff>
    </xdr:to>
    <xdr:sp macro="" textlink="">
      <xdr:nvSpPr>
        <xdr:cNvPr id="9" name="ESPTextArrowT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6161314" y="2481942"/>
          <a:ext cx="2117272" cy="185058"/>
        </a:xfrm>
        <a:prstGeom prst="rect">
          <a:avLst/>
        </a:prstGeom>
        <a:solidFill>
          <a:srgbClr val="FFFFFF"/>
        </a:solidFill>
        <a:ln w="317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=IF(N(J15)&gt;0,SUM(J16:J20)-J15=5,"")</a:t>
          </a:r>
        </a:p>
      </xdr:txBody>
    </xdr:sp>
    <xdr:clientData/>
  </xdr:twoCellAnchor>
  <xdr:twoCellAnchor>
    <xdr:from>
      <xdr:col>11</xdr:col>
      <xdr:colOff>108855</xdr:colOff>
      <xdr:row>10</xdr:row>
      <xdr:rowOff>81643</xdr:rowOff>
    </xdr:from>
    <xdr:to>
      <xdr:col>16</xdr:col>
      <xdr:colOff>469173</xdr:colOff>
      <xdr:row>11</xdr:row>
      <xdr:rowOff>47626</xdr:rowOff>
    </xdr:to>
    <xdr:sp macro="" textlink="">
      <xdr:nvSpPr>
        <xdr:cNvPr id="13" name="ESPTextArrowT5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9726384" y="1393372"/>
          <a:ext cx="318516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=ROW([@TranDate])-ROW(dtbOutVXL[[#Headers],[RowIndex]])</a:t>
          </a:r>
        </a:p>
      </xdr:txBody>
    </xdr:sp>
    <xdr:clientData/>
  </xdr:twoCellAnchor>
  <xdr:twoCellAnchor>
    <xdr:from>
      <xdr:col>12</xdr:col>
      <xdr:colOff>5443</xdr:colOff>
      <xdr:row>19</xdr:row>
      <xdr:rowOff>103415</xdr:rowOff>
    </xdr:from>
    <xdr:to>
      <xdr:col>16</xdr:col>
      <xdr:colOff>1298666</xdr:colOff>
      <xdr:row>21</xdr:row>
      <xdr:rowOff>4082</xdr:rowOff>
    </xdr:to>
    <xdr:sp macro="" textlink="">
      <xdr:nvSpPr>
        <xdr:cNvPr id="22" name="ESPTextArrowT6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9900557" y="2754086"/>
          <a:ext cx="384048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=INDEX(dtbBankVXL[RowIndex],MATCH([@RowIndex],dtbBankVXL[Count],0))</a:t>
          </a:r>
        </a:p>
      </xdr:txBody>
    </xdr:sp>
    <xdr:clientData/>
  </xdr:twoCellAnchor>
  <xdr:twoCellAnchor>
    <xdr:from>
      <xdr:col>15</xdr:col>
      <xdr:colOff>185057</xdr:colOff>
      <xdr:row>17</xdr:row>
      <xdr:rowOff>10886</xdr:rowOff>
    </xdr:from>
    <xdr:to>
      <xdr:col>18</xdr:col>
      <xdr:colOff>357233</xdr:colOff>
      <xdr:row>18</xdr:row>
      <xdr:rowOff>42182</xdr:rowOff>
    </xdr:to>
    <xdr:sp macro="" textlink="">
      <xdr:nvSpPr>
        <xdr:cNvPr id="25" name="ESPTextArrowT7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11974286" y="2400300"/>
          <a:ext cx="389509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=INDEX(dtbBankVXL[FiveRower],MATCH([@RowIndex],dtbBankVXL[Count],0))</a:t>
          </a:r>
        </a:p>
      </xdr:txBody>
    </xdr:sp>
    <xdr:clientData/>
  </xdr:twoCellAnchor>
  <xdr:twoCellAnchor>
    <xdr:from>
      <xdr:col>14</xdr:col>
      <xdr:colOff>195944</xdr:colOff>
      <xdr:row>11</xdr:row>
      <xdr:rowOff>92529</xdr:rowOff>
    </xdr:from>
    <xdr:to>
      <xdr:col>17</xdr:col>
      <xdr:colOff>32477</xdr:colOff>
      <xdr:row>12</xdr:row>
      <xdr:rowOff>58511</xdr:rowOff>
    </xdr:to>
    <xdr:sp macro="" textlink="">
      <xdr:nvSpPr>
        <xdr:cNvPr id="27" name="ESPTextArrowT8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1353801" y="1600200"/>
          <a:ext cx="280289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=IFERROR(INDEX(dtbBankVXL[Bank],$N15-1+P$10),"")</a:t>
          </a:r>
        </a:p>
      </xdr:txBody>
    </xdr:sp>
    <xdr:clientData/>
  </xdr:twoCellAnchor>
  <xdr:twoCellAnchor>
    <xdr:from>
      <xdr:col>16</xdr:col>
      <xdr:colOff>1235530</xdr:colOff>
      <xdr:row>10</xdr:row>
      <xdr:rowOff>70756</xdr:rowOff>
    </xdr:from>
    <xdr:to>
      <xdr:col>21</xdr:col>
      <xdr:colOff>87085</xdr:colOff>
      <xdr:row>11</xdr:row>
      <xdr:rowOff>38100</xdr:rowOff>
    </xdr:to>
    <xdr:sp macro="" textlink="">
      <xdr:nvSpPr>
        <xdr:cNvPr id="31" name="ESPTextArrowT9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13677901" y="1382485"/>
          <a:ext cx="4789713" cy="163286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=IF(ISNA([@IsFiveRows]),"",IF([@IsFiveRows],"",IFNA(INDEX(dtbBankVXL[Bank],$N15-1+S$10),"")))</a:t>
          </a:r>
        </a:p>
      </xdr:txBody>
    </xdr:sp>
    <xdr:clientData/>
  </xdr:twoCellAnchor>
  <xdr:twoCellAnchor>
    <xdr:from>
      <xdr:col>17</xdr:col>
      <xdr:colOff>76200</xdr:colOff>
      <xdr:row>19</xdr:row>
      <xdr:rowOff>76200</xdr:rowOff>
    </xdr:from>
    <xdr:to>
      <xdr:col>20</xdr:col>
      <xdr:colOff>239486</xdr:colOff>
      <xdr:row>21</xdr:row>
      <xdr:rowOff>5442</xdr:rowOff>
    </xdr:to>
    <xdr:sp macro="" textlink="">
      <xdr:nvSpPr>
        <xdr:cNvPr id="35" name="ESPTextArrowT10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14200414" y="2726871"/>
          <a:ext cx="3826329" cy="1905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=IFERROR(INDEX(dtbBankVXL[Bank],$N15-1+T$10+IF([@IsFiveRows],-1,0)),"")</a:t>
          </a:r>
        </a:p>
      </xdr:txBody>
    </xdr:sp>
    <xdr:clientData/>
  </xdr:twoCellAnchor>
  <xdr:twoCellAnchor>
    <xdr:from>
      <xdr:col>10</xdr:col>
      <xdr:colOff>484413</xdr:colOff>
      <xdr:row>11</xdr:row>
      <xdr:rowOff>179617</xdr:rowOff>
    </xdr:from>
    <xdr:to>
      <xdr:col>10</xdr:col>
      <xdr:colOff>1670956</xdr:colOff>
      <xdr:row>13</xdr:row>
      <xdr:rowOff>81645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8229599" y="1687288"/>
          <a:ext cx="1186543" cy="2558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400" b="1">
              <a:solidFill>
                <a:srgbClr val="002060"/>
              </a:solidFill>
            </a:rPr>
            <a:t>dtbBankVXL</a:t>
          </a:r>
        </a:p>
      </xdr:txBody>
    </xdr:sp>
    <xdr:clientData/>
  </xdr:twoCellAnchor>
  <xdr:twoCellAnchor>
    <xdr:from>
      <xdr:col>16</xdr:col>
      <xdr:colOff>386442</xdr:colOff>
      <xdr:row>12</xdr:row>
      <xdr:rowOff>1</xdr:rowOff>
    </xdr:from>
    <xdr:to>
      <xdr:col>16</xdr:col>
      <xdr:colOff>1572985</xdr:colOff>
      <xdr:row>13</xdr:row>
      <xdr:rowOff>119743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12828813" y="1703615"/>
          <a:ext cx="1186543" cy="2775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400" b="1">
              <a:solidFill>
                <a:srgbClr val="002060"/>
              </a:solidFill>
            </a:rPr>
            <a:t>dtbOutVXL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108857</xdr:colOff>
          <xdr:row>10</xdr:row>
          <xdr:rowOff>43543</xdr:rowOff>
        </xdr:from>
        <xdr:to>
          <xdr:col>13</xdr:col>
          <xdr:colOff>272143</xdr:colOff>
          <xdr:row>11</xdr:row>
          <xdr:rowOff>185057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1148443</xdr:colOff>
      <xdr:row>21</xdr:row>
      <xdr:rowOff>54428</xdr:rowOff>
    </xdr:from>
    <xdr:to>
      <xdr:col>16</xdr:col>
      <xdr:colOff>59872</xdr:colOff>
      <xdr:row>22</xdr:row>
      <xdr:rowOff>81643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 flipH="1">
          <a:off x="13460186" y="2966357"/>
          <a:ext cx="299357" cy="15784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605971</xdr:colOff>
      <xdr:row>18</xdr:row>
      <xdr:rowOff>105228</xdr:rowOff>
    </xdr:from>
    <xdr:to>
      <xdr:col>13</xdr:col>
      <xdr:colOff>152399</xdr:colOff>
      <xdr:row>20</xdr:row>
      <xdr:rowOff>21771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10501085" y="2625271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627742</xdr:colOff>
      <xdr:row>14</xdr:row>
      <xdr:rowOff>105228</xdr:rowOff>
    </xdr:from>
    <xdr:to>
      <xdr:col>14</xdr:col>
      <xdr:colOff>152399</xdr:colOff>
      <xdr:row>16</xdr:row>
      <xdr:rowOff>21771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CxnSpPr/>
      </xdr:nvCxnSpPr>
      <xdr:spPr>
        <a:xfrm>
          <a:off x="11154228" y="2102757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152399</xdr:colOff>
      <xdr:row>16</xdr:row>
      <xdr:rowOff>21772</xdr:rowOff>
    </xdr:from>
    <xdr:to>
      <xdr:col>15</xdr:col>
      <xdr:colOff>1300843</xdr:colOff>
      <xdr:row>17</xdr:row>
      <xdr:rowOff>65316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1332028" y="2280558"/>
          <a:ext cx="2280558" cy="174172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=INDEX(dtbBankSXL[Bank],($M15-1)*6+N$10)</a:t>
          </a:r>
        </a:p>
      </xdr:txBody>
    </xdr:sp>
    <xdr:clientData/>
  </xdr:twoCellAnchor>
  <xdr:twoCellAnchor>
    <xdr:from>
      <xdr:col>13</xdr:col>
      <xdr:colOff>168726</xdr:colOff>
      <xdr:row>19</xdr:row>
      <xdr:rowOff>21771</xdr:rowOff>
    </xdr:from>
    <xdr:to>
      <xdr:col>16</xdr:col>
      <xdr:colOff>10886</xdr:colOff>
      <xdr:row>20</xdr:row>
      <xdr:rowOff>87085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10695212" y="2672442"/>
          <a:ext cx="3015345" cy="195943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=ROW([@TranDate])-ROW(dtbOutSXL[[#Headers],[RowIndex]])</a:t>
          </a:r>
        </a:p>
      </xdr:txBody>
    </xdr:sp>
    <xdr:clientData/>
  </xdr:twoCellAnchor>
  <xdr:twoCellAnchor>
    <xdr:from>
      <xdr:col>15</xdr:col>
      <xdr:colOff>119743</xdr:colOff>
      <xdr:row>22</xdr:row>
      <xdr:rowOff>114300</xdr:rowOff>
    </xdr:from>
    <xdr:to>
      <xdr:col>16</xdr:col>
      <xdr:colOff>1289958</xdr:colOff>
      <xdr:row>24</xdr:row>
      <xdr:rowOff>87086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431486" y="3156857"/>
          <a:ext cx="2558143" cy="234043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=T(INDEX(dtbBankSXL[Bank],($M22-1)*6+Q$10),"")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C9B33A8-2255-470F-8D02-38FE1F88EA65}" autoFormatId="16" applyNumberFormats="0" applyBorderFormats="0" applyFontFormats="0" applyPatternFormats="0" applyAlignmentFormats="0" applyWidthHeightFormats="0">
  <queryTableRefresh nextId="21">
    <queryTableFields count="5">
      <queryTableField id="14" name="TranDate" tableColumnId="13"/>
      <queryTableField id="15" name="PayType" tableColumnId="14"/>
      <queryTableField id="16" name="Detail" tableColumnId="15"/>
      <queryTableField id="17" name="Description" tableColumnId="16"/>
      <queryTableField id="18" name="Transac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234012C-6641-4A73-AF60-C7887D74074F}" autoFormatId="16" applyNumberFormats="0" applyBorderFormats="0" applyFontFormats="0" applyPatternFormats="0" applyAlignmentFormats="0" applyWidthHeightFormats="0">
  <queryTableRefresh nextId="7">
    <queryTableFields count="6">
      <queryTableField id="1" name="TranDate" tableColumnId="1"/>
      <queryTableField id="2" name="PayType" tableColumnId="2"/>
      <queryTableField id="3" name="Detail1" tableColumnId="3"/>
      <queryTableField id="4" name="Detail2" tableColumnId="4"/>
      <queryTableField id="5" name="PayAmount" tableColumnId="5"/>
      <queryTableField id="6" name="Balanc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081F81-E9AA-416C-B0AE-8E46A53CEDF3}" name="dtbBankVPQ" displayName="dtbBankVPQ" ref="K14:K150" totalsRowShown="0" headerRowDxfId="48" headerRowBorderDxfId="47">
  <autoFilter ref="K14:K150" xr:uid="{F083B563-1336-45A9-8C8D-C5E4080969D3}"/>
  <tableColumns count="1">
    <tableColumn id="1" xr3:uid="{D39F9C20-816C-4997-8FEB-27631E4215A7}" name="Ba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E9F269-FD2E-4DD7-B731-28A973E8BDCA}" name="dtbOutVPQ" displayName="dtbOutVPQ" ref="M14:Q37" tableType="queryTable" totalsRowShown="0" headerRowDxfId="46" headerRowBorderDxfId="45">
  <autoFilter ref="M14:Q37" xr:uid="{2CD57B64-C93E-4195-89FF-5B5E97715B8A}"/>
  <tableColumns count="5">
    <tableColumn id="13" xr3:uid="{513BD6A3-3EE6-41F4-B215-DA81091C556E}" uniqueName="13" name="TranDate" queryTableFieldId="14" dataDxfId="44"/>
    <tableColumn id="14" xr3:uid="{AD1603D9-2D15-45E6-B70C-327C199EC665}" uniqueName="14" name="PayType" queryTableFieldId="15" dataDxfId="43"/>
    <tableColumn id="15" xr3:uid="{8ED703D7-CC32-48C9-AD72-8AFEBF27C4B4}" uniqueName="15" name="Detail" queryTableFieldId="16" dataDxfId="42"/>
    <tableColumn id="16" xr3:uid="{BD9B45EF-2426-47A2-B863-3EC9FFC3B8C4}" uniqueName="16" name="Description" queryTableFieldId="17" dataDxfId="41"/>
    <tableColumn id="17" xr3:uid="{33C8B973-6DB5-4DCE-969F-6B0AD3F573FC}" uniqueName="17" name="Transaction" queryTableFieldId="18" dataDxfId="40" dataCellStyle="Comma"/>
  </tableColumns>
  <tableStyleInfo name="ESP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C2E84A-E344-4654-8971-FAF236DCCE68}" name="dtbBankVXLM" displayName="dtbBankVXLM" ref="K14:K150" totalsRowShown="0" headerRowDxfId="39" headerRowBorderDxfId="38" headerRowCellStyle="Normal">
  <autoFilter ref="K14:K150" xr:uid="{F083B563-1336-45A9-8C8D-C5E4080969D3}"/>
  <tableColumns count="1">
    <tableColumn id="1" xr3:uid="{3683B421-3817-4C7A-BB9A-1F5426236C66}" name="Ba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E68090-6DCB-4596-ACDD-28E4CED21680}" name="dtbOutVM" displayName="dtbOutVM" ref="M14:S37" totalsRowShown="0" headerRowDxfId="37" headerRowBorderDxfId="36">
  <autoFilter ref="M14:S37" xr:uid="{4CB01AE2-6DF4-423E-8ABA-6A17A757644B}"/>
  <tableColumns count="7">
    <tableColumn id="8" xr3:uid="{7674F1E3-90A9-4500-BAD3-A4289B1B8048}" name="TranDate" dataCellStyle="cdDMY -CalDate"/>
    <tableColumn id="9" xr3:uid="{84CFF94D-8655-49FA-8707-1436975AFE84}" name="PayType" dataDxfId="35"/>
    <tableColumn id="10" xr3:uid="{29E95942-C8F5-40E5-AD15-02D3432691D9}" name="Detail1" dataDxfId="34"/>
    <tableColumn id="11" xr3:uid="{72C1A2AD-7639-4752-AAB9-811F26A9D83C}" name="Detail2" dataDxfId="33" dataCellStyle="Comma"/>
    <tableColumn id="12" xr3:uid="{A66109B5-8AF1-4891-BA55-B79BB758F829}" name="PayAmount" dataDxfId="32" dataCellStyle="cc2 -CalComma"/>
    <tableColumn id="14" xr3:uid="{12916DE9-064D-4A2D-A4AD-68B272F2D73A}" name="Balance" dataCellStyle="cc2 -CalComma"/>
    <tableColumn id="13" xr3:uid="{C0867FD2-5710-4AAC-BEAA-E07A903EF936}" name=" " dataCellStyle="cc2 -CalComma"/>
  </tableColumns>
  <tableStyleInfo name="ESP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14AEFE2-94C9-4E25-A398-6133198FEF38}" name="dtbBankVXL" displayName="dtbBankVXL" ref="H14:K150" totalsRowShown="0" headerRowDxfId="31" headerRowBorderDxfId="30" headerRowCellStyle="Normal">
  <autoFilter ref="H14:K150" xr:uid="{F083B563-1336-45A9-8C8D-C5E4080969D3}"/>
  <tableColumns count="4">
    <tableColumn id="2" xr3:uid="{AD559455-9529-44CA-A158-542B3EAA7020}" name="FiveRower">
      <calculatedColumnFormula>IF(N(J15)&gt;0,SUM(J16:J20)-J15=5,"")</calculatedColumnFormula>
    </tableColumn>
    <tableColumn id="3" xr3:uid="{1578901D-3FAE-4A34-9CF0-87B4DAB35E1B}" name="Count">
      <calculatedColumnFormula>COUNT(J$14:J15)</calculatedColumnFormula>
    </tableColumn>
    <tableColumn id="4" xr3:uid="{DCB097F3-BDE6-4334-AF03-ECA7D6F687CB}" name="RowIndex">
      <calculatedColumnFormula array="1">IF(CELL("format",dtbBankVXL[[#This Row],[Bank]])="D1",ROW(dtbBankVXL[[#This Row],[Bank]])-ROW(dtbBankVXL[[#Headers],[Bank]]),"")</calculatedColumnFormula>
    </tableColumn>
    <tableColumn id="1" xr3:uid="{89CB882E-6D1C-457C-BB73-C5D71F33E0D3}" name="Bank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959805-3CB3-4A26-8A7E-6974B5D5E22E}" name="dtbOutVXL" displayName="dtbOutVXL" ref="M14:V37" totalsRowShown="0" headerRowDxfId="9" headerRowBorderDxfId="8">
  <autoFilter ref="M14:V37" xr:uid="{4CB01AE2-6DF4-423E-8ABA-6A17A757644B}"/>
  <tableColumns count="10">
    <tableColumn id="7" xr3:uid="{0C10680D-4D64-431B-9918-C6A18E6C623E}" name="RowIndex" dataCellStyle="cc0 -CalComma">
      <calculatedColumnFormula>ROW(dtbOutVXL[[#This Row],[TranDate]])-ROW(dtbOutVXL[[#Headers],[RowIndex]])</calculatedColumnFormula>
    </tableColumn>
    <tableColumn id="15" xr3:uid="{89DE71C0-9A84-4348-9B4B-7D420D80FEB2}" name="SourceIndex" dataDxfId="7" dataCellStyle="cc0 -CalComma">
      <calculatedColumnFormula>INDEX(dtbBankVXL[RowIndex],MATCH(dtbOutVXL[[#This Row],[RowIndex]],dtbBankVXL[Count],0))</calculatedColumnFormula>
    </tableColumn>
    <tableColumn id="16" xr3:uid="{E0A658BE-4F98-4A4D-967E-71A4DD435DEE}" name="IsFiveRows" dataDxfId="6" dataCellStyle="cc0 -CalComma">
      <calculatedColumnFormula>INDEX(dtbBankVXL[FiveRower],MATCH(dtbOutVXL[[#This Row],[RowIndex]],dtbBankVXL[Count],0))</calculatedColumnFormula>
    </tableColumn>
    <tableColumn id="8" xr3:uid="{BD8D3245-E40F-4447-96C9-C5F97FBD2109}" name="TranDate" dataDxfId="0" dataCellStyle="cdDMY -CalDate">
      <calculatedColumnFormula>IFERROR(INDEX(dtbBankVXL[Bank],dtbOutVXL[[#This Row],[SourceIndex]]-1+P$10),"")</calculatedColumnFormula>
    </tableColumn>
    <tableColumn id="9" xr3:uid="{A9E49BA8-5ADC-4C5E-88D2-35E95F06A853}" name="PayType" dataDxfId="5" dataCellStyle="cdDMY -CalDate">
      <calculatedColumnFormula array="1">IFERROR(INDEX(dtbBankVXL[Bank],$N15-1+Q$10),"")</calculatedColumnFormula>
    </tableColumn>
    <tableColumn id="10" xr3:uid="{97827DFC-486D-468F-BA48-A84708E0FEE2}" name="Detail1" dataDxfId="4" dataCellStyle="cdDMY -CalDate">
      <calculatedColumnFormula array="1">IFERROR(INDEX(dtbBankVXL[Bank],$N15-1+R$10),"")</calculatedColumnFormula>
    </tableColumn>
    <tableColumn id="11" xr3:uid="{43DADBEA-51DA-4E5E-9C55-59DAD2B57CE2}" name="Detail2" dataDxfId="3" dataCellStyle="cdDMY -CalDate">
      <calculatedColumnFormula array="1">IF(ISNA(dtbOutVXL[[#This Row],[IsFiveRows]]),"",IF(dtbOutVXL[[#This Row],[IsFiveRows]],"",_xlfn.IFNA(INDEX(dtbBankVXL[Bank],$N15-1+S$10),"")))</calculatedColumnFormula>
    </tableColumn>
    <tableColumn id="12" xr3:uid="{FD18F00F-2599-4ADF-A229-893744C523DD}" name="PayAmount" dataDxfId="2" dataCellStyle="cc2 -CalComma">
      <calculatedColumnFormula array="1">IFERROR(INDEX(dtbBankVXL[Bank],$N15-1+T$10+IF(dtbOutVXL[[#This Row],[IsFiveRows]],-1,0)),"")</calculatedColumnFormula>
    </tableColumn>
    <tableColumn id="14" xr3:uid="{8CA7E9CB-1E30-47CD-A226-F86683AA6655}" name="Balance" dataDxfId="1" dataCellStyle="cc2 -CalComma">
      <calculatedColumnFormula array="1">IFERROR(INDEX(dtbBankVXL[Bank],$N15-1+U$10+IF(dtbOutVXL[[#This Row],[IsFiveRows]],-1,0)),"")</calculatedColumnFormula>
    </tableColumn>
    <tableColumn id="13" xr3:uid="{B2247CBF-89C2-4266-95E4-0DF93EDD72F1}" name=" " dataCellStyle="cc2 -CalComma"/>
  </tableColumns>
  <tableStyleInfo name="ESP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9975A9-CDE7-4BAD-BD08-31801E556258}" name="dtbBankSPQ" displayName="dtbBankSPQ" ref="K14:K152" totalsRowShown="0" headerRowDxfId="29" headerRowBorderDxfId="28" headerRowCellStyle="ttw -TopTextWrap">
  <autoFilter ref="K14:K152" xr:uid="{F083B563-1336-45A9-8C8D-C5E4080969D3}"/>
  <tableColumns count="1">
    <tableColumn id="1" xr3:uid="{1A187BFD-6C66-403E-92F4-5075FE10CC60}" name="B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156A07-D23F-49E1-80D9-0BEAF21EFC85}" name="SameTransform" displayName="SameTransform" ref="M14:R37" tableType="queryTable" totalsRowShown="0" headerRowDxfId="27" headerRowBorderDxfId="26">
  <autoFilter ref="M14:R37" xr:uid="{15156A07-D23F-49E1-80D9-0BEAF21EFC85}"/>
  <tableColumns count="6">
    <tableColumn id="1" xr3:uid="{E0D702CC-26BF-4F9C-9AE6-3CA995140B53}" uniqueName="1" name="TranDate" queryTableFieldId="1" dataCellStyle="cdDMY -CalDate"/>
    <tableColumn id="2" xr3:uid="{39EA37F7-5BC7-45B1-970F-C91AC1F5304B}" uniqueName="2" name="PayType" queryTableFieldId="2"/>
    <tableColumn id="3" xr3:uid="{4F0BACA9-3F11-4983-9CB1-54493237A3C3}" uniqueName="3" name="Detail1" queryTableFieldId="3"/>
    <tableColumn id="4" xr3:uid="{61D29642-B37F-4EEF-8B8F-3DE95EB61FC9}" uniqueName="4" name="Detail2" queryTableFieldId="4"/>
    <tableColumn id="5" xr3:uid="{9505617D-F68E-4B57-AAEC-9302B897A157}" uniqueName="5" name="PayAmount" queryTableFieldId="5" dataCellStyle="cc2 -CalComma"/>
    <tableColumn id="6" xr3:uid="{9E1BD98B-02F0-45E3-8B34-BAA79FB2B2EC}" uniqueName="6" name="Balance" queryTableFieldId="6" dataCellStyle="cc2 -CalComma"/>
  </tableColumns>
  <tableStyleInfo name="ESP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E0F07A-E4DD-4E3D-99A7-6D93D009AF82}" name="dtbBankSM" displayName="dtbBankSM" ref="K14:K152" totalsRowShown="0" headerRowDxfId="25" headerRowBorderDxfId="24" headerRowCellStyle="Normal">
  <autoFilter ref="K14:K152" xr:uid="{F083B563-1336-45A9-8C8D-C5E4080969D3}"/>
  <tableColumns count="1">
    <tableColumn id="1" xr3:uid="{022E4596-4991-4641-BB36-1A06E10F2976}" name="B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64D3BDC-CBF5-487E-9D1A-2D8FB9FA6AFA}" name="dtbOutSM" displayName="dtbOutSM" ref="M14:S37" totalsRowShown="0" headerRowDxfId="23" headerRowBorderDxfId="22">
  <autoFilter ref="M14:S37" xr:uid="{4CB01AE2-6DF4-423E-8ABA-6A17A757644B}"/>
  <tableColumns count="7">
    <tableColumn id="8" xr3:uid="{69565BCB-B7A3-47D9-B9CE-C3C0E440103C}" name="TranDate" dataDxfId="21" dataCellStyle="cdDMY -CalDate"/>
    <tableColumn id="9" xr3:uid="{56E02C2F-36F8-4D0E-810F-FFCA32A46894}" name="PayType" dataDxfId="20"/>
    <tableColumn id="10" xr3:uid="{68BBF2DD-EBC7-477F-950E-AFEC06986A01}" name="Detail1" dataDxfId="19"/>
    <tableColumn id="11" xr3:uid="{A753D279-083D-45DD-BDE4-0B04B9BA3E27}" name="Detail2" dataDxfId="18" dataCellStyle="Comma"/>
    <tableColumn id="12" xr3:uid="{4AA842E0-14B5-4700-A431-AB0C6368E487}" name="PayAmount" dataDxfId="17" dataCellStyle="cc2 -CalComma"/>
    <tableColumn id="14" xr3:uid="{7AA0E975-DFD4-49F7-8B07-83B55B992B72}" name="Balance" dataCellStyle="cc2 -CalComma"/>
    <tableColumn id="13" xr3:uid="{D8DCB665-4196-4384-AACD-4A65A2DA6EC5}" name=" " dataCellStyle="cc2 -CalComma"/>
  </tableColumns>
  <tableStyleInfo name="ESP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006598-7960-4A57-A836-ECC71FE20CC1}" name="dtbBankSXL" displayName="dtbBankSXL" ref="K14:K152" totalsRowShown="0" headerRowDxfId="16" headerRowBorderDxfId="15" headerRowCellStyle="Normal">
  <autoFilter ref="K14:K152" xr:uid="{F083B563-1336-45A9-8C8D-C5E4080969D3}"/>
  <tableColumns count="1">
    <tableColumn id="1" xr3:uid="{CB146A56-AF83-429A-B03D-98E8E49187DB}" name="Bank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B03756-5970-4D54-979A-D1F3A18FB1FE}" name="dtbOutSXL" displayName="dtbOutSXL" ref="M14:T37" totalsRowShown="0" headerRowDxfId="14" headerRowBorderDxfId="13">
  <autoFilter ref="M14:T37" xr:uid="{4CB01AE2-6DF4-423E-8ABA-6A17A757644B}"/>
  <tableColumns count="8">
    <tableColumn id="7" xr3:uid="{D4A6CDEF-17D5-4696-893E-97ADADD309D4}" name="RowIndex" dataCellStyle="cc0 -CalComma">
      <calculatedColumnFormula>ROW(dtbOutSXL[[#This Row],[TranDate]])-ROW(dtbOutSXL[[#Headers],[RowIndex]])</calculatedColumnFormula>
    </tableColumn>
    <tableColumn id="8" xr3:uid="{59C915EE-B61E-4204-8DEF-59BA957A1E8E}" name="TranDate" dataCellStyle="cdDMY -CalDate">
      <calculatedColumnFormula array="1">INDEX(dtbBankSXL[Bank],($M15-1)*6+N$10)</calculatedColumnFormula>
    </tableColumn>
    <tableColumn id="9" xr3:uid="{1B00E19B-2ACC-46B4-AF17-AA95FFB9AE83}" name="PayType" dataDxfId="12">
      <calculatedColumnFormula array="1">INDEX(dtbBankSXL[Bank],($M15-1)*6+O$10)</calculatedColumnFormula>
    </tableColumn>
    <tableColumn id="10" xr3:uid="{9EA7FF2D-D34D-4558-BE13-26481F78BAB8}" name="Detail1" dataDxfId="11">
      <calculatedColumnFormula array="1">INDEX(dtbBankSXL[Bank],($M15-1)*6+P$10)</calculatedColumnFormula>
    </tableColumn>
    <tableColumn id="11" xr3:uid="{7150B2D3-F2DC-429A-8330-23A58B3540BF}" name="Detail2" dataDxfId="10" dataCellStyle="Comma">
      <calculatedColumnFormula>T(INDEX(dtbBankSXL[Bank],($M15-1)*6+Q$10))</calculatedColumnFormula>
    </tableColumn>
    <tableColumn id="12" xr3:uid="{10C59C9E-2639-4DD3-ADD3-C6B00A58A78A}" name="PayAmount" dataCellStyle="cc2 -CalComma">
      <calculatedColumnFormula array="1">INDEX(dtbBankSXL[Bank],($M15-1)*6+R$10)</calculatedColumnFormula>
    </tableColumn>
    <tableColumn id="14" xr3:uid="{3FFE0565-AE71-4220-8F56-AC7A52CA39BC}" name="Balance" dataCellStyle="cc2 -CalComma">
      <calculatedColumnFormula array="1">INDEX(dtbBankSXL[Bank],($M15-1)*6+S$10)</calculatedColumnFormula>
    </tableColumn>
    <tableColumn id="13" xr3:uid="{759FE67C-0527-4698-A662-FB2BF70DBE64}" name=" " dataCellStyle="cc2 -CalComma"/>
  </tableColumns>
  <tableStyleInfo name="ESP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1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69CCEF5-7C3E-4AC0-A6C7-1498710BDF6D}">
  <we:reference id="wa104381701" version="1.0.0.4" store="en-US" storeType="OMEX"/>
  <we:alternateReferences>
    <we:reference id="WA104381701" version="1.0.0.4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bleowl.com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12"/>
  </sheetPr>
  <dimension ref="A1:D37"/>
  <sheetViews>
    <sheetView workbookViewId="0">
      <pane xSplit="2" ySplit="4" topLeftCell="C5" activePane="bottomRight" state="frozen"/>
      <selection activeCell="K16" sqref="K16"/>
      <selection pane="topRight" activeCell="K16" sqref="K16"/>
      <selection pane="bottomLeft" activeCell="K16" sqref="K16"/>
      <selection pane="bottomRight" activeCell="C12" sqref="C12"/>
    </sheetView>
  </sheetViews>
  <sheetFormatPr defaultRowHeight="10.3" x14ac:dyDescent="0.25"/>
  <cols>
    <col min="1" max="1" width="7" customWidth="1"/>
    <col min="2" max="2" width="15.81640625" customWidth="1"/>
    <col min="3" max="3" width="96.453125" customWidth="1"/>
    <col min="4" max="4" width="2.36328125" customWidth="1"/>
  </cols>
  <sheetData>
    <row r="1" spans="1:4" ht="15.45" x14ac:dyDescent="0.25">
      <c r="A1" s="20" t="s">
        <v>16</v>
      </c>
      <c r="B1" s="27"/>
      <c r="C1" s="27"/>
      <c r="D1" s="21"/>
    </row>
    <row r="2" spans="1:4" ht="15.45" x14ac:dyDescent="0.25">
      <c r="A2" s="22" t="str">
        <f>kAppName</f>
        <v>-</v>
      </c>
      <c r="B2" s="28"/>
      <c r="C2" s="28"/>
      <c r="D2" s="23"/>
    </row>
    <row r="3" spans="1:4" x14ac:dyDescent="0.25">
      <c r="A3" s="29" t="str">
        <f>"Version " &amp; kVersion</f>
        <v>Version 28-Jan-2024A</v>
      </c>
      <c r="B3" s="28"/>
      <c r="C3" s="28"/>
      <c r="D3" s="23"/>
    </row>
    <row r="4" spans="1:4" ht="10.75" thickBot="1" x14ac:dyDescent="0.3">
      <c r="A4" s="30"/>
      <c r="B4" s="31"/>
      <c r="C4" s="31"/>
      <c r="D4" s="26"/>
    </row>
    <row r="5" spans="1:4" x14ac:dyDescent="0.25">
      <c r="A5" s="8" t="s">
        <v>24</v>
      </c>
    </row>
    <row r="6" spans="1:4" x14ac:dyDescent="0.25">
      <c r="A6" s="9" t="s">
        <v>25</v>
      </c>
      <c r="C6" s="10" t="s">
        <v>101</v>
      </c>
    </row>
    <row r="7" spans="1:4" ht="41.15" x14ac:dyDescent="0.25">
      <c r="A7" s="9" t="s">
        <v>14</v>
      </c>
      <c r="C7" s="10" t="s">
        <v>102</v>
      </c>
    </row>
    <row r="8" spans="1:4" x14ac:dyDescent="0.25">
      <c r="A8" s="9" t="s">
        <v>6</v>
      </c>
      <c r="C8" s="4" t="str">
        <f ca="1">SUBSTITUTE(LEFT(CELL("filename",C8),FIND("]",CELL("filename",C8))-1),"[","")</f>
        <v>D:\d\Mag\FreeTips\Tip971\PivotTransform.xlsm</v>
      </c>
    </row>
    <row r="9" spans="1:4" x14ac:dyDescent="0.25">
      <c r="A9" s="9" t="s">
        <v>7</v>
      </c>
      <c r="C9" t="str">
        <f>kVersion</f>
        <v>28-Jan-2024A</v>
      </c>
    </row>
    <row r="10" spans="1:4" x14ac:dyDescent="0.25">
      <c r="A10" s="9" t="s">
        <v>15</v>
      </c>
      <c r="C10" t="s">
        <v>35</v>
      </c>
    </row>
    <row r="11" spans="1:4" x14ac:dyDescent="0.25">
      <c r="A11" s="9" t="s">
        <v>17</v>
      </c>
      <c r="C11" s="10"/>
    </row>
    <row r="12" spans="1:4" x14ac:dyDescent="0.25">
      <c r="A12" s="9" t="s">
        <v>10</v>
      </c>
      <c r="C12" s="94" t="s">
        <v>103</v>
      </c>
    </row>
    <row r="13" spans="1:4" x14ac:dyDescent="0.25">
      <c r="A13" s="18" t="s">
        <v>22</v>
      </c>
    </row>
    <row r="14" spans="1:4" x14ac:dyDescent="0.25">
      <c r="A14" s="11" t="s">
        <v>18</v>
      </c>
      <c r="C14" s="10"/>
    </row>
    <row r="15" spans="1:4" x14ac:dyDescent="0.25">
      <c r="A15" s="11" t="s">
        <v>19</v>
      </c>
      <c r="C15" s="10"/>
    </row>
    <row r="16" spans="1:4" x14ac:dyDescent="0.25">
      <c r="A16" s="11" t="s">
        <v>23</v>
      </c>
      <c r="C16" s="10"/>
    </row>
    <row r="17" spans="1:3" x14ac:dyDescent="0.25">
      <c r="A17" s="11" t="s">
        <v>20</v>
      </c>
      <c r="C17" s="10"/>
    </row>
    <row r="18" spans="1:3" x14ac:dyDescent="0.25">
      <c r="A18" s="11" t="s">
        <v>21</v>
      </c>
      <c r="C18" s="10"/>
    </row>
    <row r="19" spans="1:3" x14ac:dyDescent="0.25">
      <c r="A19" s="9" t="s">
        <v>33</v>
      </c>
      <c r="C19" s="10"/>
    </row>
    <row r="20" spans="1:3" x14ac:dyDescent="0.25">
      <c r="A20" s="16" t="s">
        <v>26</v>
      </c>
      <c r="C20" s="10"/>
    </row>
    <row r="21" spans="1:3" x14ac:dyDescent="0.25">
      <c r="A21" s="12"/>
      <c r="C21" s="14"/>
    </row>
    <row r="22" spans="1:3" x14ac:dyDescent="0.25">
      <c r="A22" s="12"/>
      <c r="C22" s="14"/>
    </row>
    <row r="23" spans="1:3" x14ac:dyDescent="0.25">
      <c r="A23" s="4"/>
    </row>
    <row r="24" spans="1:3" x14ac:dyDescent="0.25">
      <c r="C24" s="14"/>
    </row>
    <row r="25" spans="1:3" x14ac:dyDescent="0.25">
      <c r="C25" s="14"/>
    </row>
    <row r="26" spans="1:3" x14ac:dyDescent="0.25">
      <c r="C26" s="14"/>
    </row>
    <row r="27" spans="1:3" x14ac:dyDescent="0.25">
      <c r="C27" s="14"/>
    </row>
    <row r="28" spans="1:3" x14ac:dyDescent="0.25">
      <c r="C28" s="14"/>
    </row>
    <row r="29" spans="1:3" x14ac:dyDescent="0.25">
      <c r="A29" s="15" t="s">
        <v>4</v>
      </c>
      <c r="B29" s="4"/>
    </row>
    <row r="30" spans="1:3" x14ac:dyDescent="0.25">
      <c r="A30" s="16" t="s">
        <v>28</v>
      </c>
      <c r="B30" s="4"/>
    </row>
    <row r="31" spans="1:3" x14ac:dyDescent="0.25">
      <c r="A31" s="19" t="s">
        <v>30</v>
      </c>
      <c r="B31" s="4"/>
    </row>
    <row r="32" spans="1:3" x14ac:dyDescent="0.25">
      <c r="A32" s="13" t="s">
        <v>8</v>
      </c>
      <c r="B32" s="7"/>
    </row>
    <row r="33" spans="1:3" x14ac:dyDescent="0.25">
      <c r="A33" s="13" t="s">
        <v>9</v>
      </c>
      <c r="B33" s="7"/>
      <c r="C33" s="4"/>
    </row>
    <row r="34" spans="1:3" x14ac:dyDescent="0.25">
      <c r="A34" s="18" t="s">
        <v>29</v>
      </c>
      <c r="B34" s="4"/>
      <c r="C34" s="4"/>
    </row>
    <row r="35" spans="1:3" x14ac:dyDescent="0.25">
      <c r="A35" s="19" t="s">
        <v>31</v>
      </c>
      <c r="B35" s="4"/>
      <c r="C35" s="4"/>
    </row>
    <row r="36" spans="1:3" x14ac:dyDescent="0.25">
      <c r="A36" s="13" t="s">
        <v>8</v>
      </c>
      <c r="B36" s="4"/>
      <c r="C36" s="4"/>
    </row>
    <row r="37" spans="1:3" x14ac:dyDescent="0.25">
      <c r="A37" s="13" t="s">
        <v>9</v>
      </c>
      <c r="B37" s="4"/>
      <c r="C37" s="4"/>
    </row>
  </sheetData>
  <sheetProtection autoFilter="0"/>
  <phoneticPr fontId="0" type="noConversion"/>
  <hyperlinks>
    <hyperlink ref="C12" r:id="rId1" xr:uid="{7346F908-1E12-42C6-8B5A-BBD10294F4F0}"/>
  </hyperlinks>
  <pageMargins left="0.23622047244094491" right="0.23622047244094491" top="0.43307086614173229" bottom="0.43307086614173229" header="0.23622047244094491" footer="0.23622047244094491"/>
  <pageSetup paperSize="9" scale="80" orientation="landscape" r:id="rId2"/>
  <headerFooter alignWithMargins="0">
    <oddFooter>&amp;L&amp;8&amp;D &amp;T&amp;C&amp;8&amp;Z&amp;F&amp;R&amp;8&amp;P of &amp;N</oddFooter>
  </headerFooter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818080"/>
  </sheetPr>
  <dimension ref="A1:B13"/>
  <sheetViews>
    <sheetView workbookViewId="0">
      <pane xSplit="1" ySplit="4" topLeftCell="B5" activePane="bottomRight" state="frozen"/>
      <selection activeCell="K16" sqref="K16"/>
      <selection pane="topRight" activeCell="K16" sqref="K16"/>
      <selection pane="bottomLeft" activeCell="K16" sqref="K16"/>
      <selection pane="bottomRight" activeCell="B12" sqref="B12"/>
    </sheetView>
  </sheetViews>
  <sheetFormatPr defaultColWidth="9.81640625" defaultRowHeight="10.3" x14ac:dyDescent="0.25"/>
  <cols>
    <col min="1" max="1" width="22" customWidth="1"/>
    <col min="2" max="2" width="19.81640625" customWidth="1"/>
  </cols>
  <sheetData>
    <row r="1" spans="1:2" ht="15.45" x14ac:dyDescent="0.25">
      <c r="A1" s="20" t="s">
        <v>0</v>
      </c>
      <c r="B1" s="21"/>
    </row>
    <row r="2" spans="1:2" ht="15.45" x14ac:dyDescent="0.25">
      <c r="A2" s="22" t="str">
        <f>kAppName</f>
        <v>-</v>
      </c>
      <c r="B2" s="23"/>
    </row>
    <row r="3" spans="1:2" x14ac:dyDescent="0.25">
      <c r="A3" s="24"/>
      <c r="B3" s="23"/>
    </row>
    <row r="4" spans="1:2" ht="10.75" thickBot="1" x14ac:dyDescent="0.3">
      <c r="A4" s="25"/>
      <c r="B4" s="26"/>
    </row>
    <row r="5" spans="1:2" x14ac:dyDescent="0.25">
      <c r="A5" s="3"/>
      <c r="B5" s="1"/>
    </row>
    <row r="6" spans="1:2" x14ac:dyDescent="0.25">
      <c r="A6" s="3" t="s">
        <v>5</v>
      </c>
      <c r="B6" s="1" t="s">
        <v>27</v>
      </c>
    </row>
    <row r="7" spans="1:2" x14ac:dyDescent="0.25">
      <c r="A7" s="6" t="s">
        <v>7</v>
      </c>
      <c r="B7" s="1" t="s">
        <v>36</v>
      </c>
    </row>
    <row r="8" spans="1:2" x14ac:dyDescent="0.25">
      <c r="A8" s="3" t="s">
        <v>2</v>
      </c>
      <c r="B8" s="1" t="s">
        <v>3</v>
      </c>
    </row>
    <row r="9" spans="1:2" x14ac:dyDescent="0.25">
      <c r="A9" s="3" t="s">
        <v>32</v>
      </c>
      <c r="B9" s="1"/>
    </row>
    <row r="10" spans="1:2" x14ac:dyDescent="0.25">
      <c r="A10" s="3" t="s">
        <v>11</v>
      </c>
      <c r="B10" s="17">
        <v>1E-3</v>
      </c>
    </row>
    <row r="11" spans="1:2" x14ac:dyDescent="0.25">
      <c r="A11" s="3" t="s">
        <v>12</v>
      </c>
      <c r="B11" s="1" t="s">
        <v>13</v>
      </c>
    </row>
    <row r="12" spans="1:2" x14ac:dyDescent="0.25">
      <c r="A12" s="3" t="s">
        <v>1</v>
      </c>
      <c r="B12" s="1" t="str">
        <f ca="1">TEXT(NOW(),"d-mmm-yyyy h:mm AM/PM ")</f>
        <v xml:space="preserve">9-Feb-2024 3:47 pm </v>
      </c>
    </row>
    <row r="13" spans="1:2" ht="6" customHeight="1" thickBot="1" x14ac:dyDescent="0.3">
      <c r="A13" s="5"/>
      <c r="B13" s="2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4902-F98A-470D-9057-F5604375BED9}">
  <sheetPr codeName="Sheet2">
    <tabColor rgb="FFC0BFBF"/>
  </sheetPr>
  <dimension ref="K10:R150"/>
  <sheetViews>
    <sheetView topLeftCell="K11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O20" sqref="O20"/>
    </sheetView>
  </sheetViews>
  <sheetFormatPr defaultRowHeight="10.3" x14ac:dyDescent="0.25"/>
  <cols>
    <col min="11" max="11" width="30.81640625" customWidth="1"/>
    <col min="12" max="12" width="4.6328125" customWidth="1"/>
    <col min="13" max="13" width="10.54296875" bestFit="1" customWidth="1"/>
    <col min="14" max="14" width="10.90625" bestFit="1" customWidth="1"/>
    <col min="15" max="15" width="18.90625" bestFit="1" customWidth="1"/>
    <col min="16" max="16" width="22.90625" bestFit="1" customWidth="1"/>
    <col min="17" max="17" width="12.36328125" bestFit="1" customWidth="1"/>
    <col min="18" max="18" width="1.81640625" customWidth="1"/>
  </cols>
  <sheetData>
    <row r="10" spans="11:18" ht="10.75" thickBot="1" x14ac:dyDescent="0.3"/>
    <row r="11" spans="11:18" ht="15.45" x14ac:dyDescent="0.25">
      <c r="K11" s="60" t="s">
        <v>90</v>
      </c>
      <c r="L11" s="61"/>
      <c r="M11" s="62"/>
      <c r="N11" s="61"/>
      <c r="O11" s="61"/>
      <c r="P11" s="61"/>
      <c r="Q11" s="61"/>
      <c r="R11" s="63"/>
    </row>
    <row r="12" spans="11:18" ht="15.45" x14ac:dyDescent="0.25">
      <c r="K12" s="64"/>
      <c r="L12" s="65"/>
      <c r="M12" s="66"/>
      <c r="N12" s="65"/>
      <c r="O12" s="65"/>
      <c r="P12" s="65"/>
      <c r="Q12" s="65"/>
      <c r="R12" s="67"/>
    </row>
    <row r="13" spans="11:18" ht="14.6" x14ac:dyDescent="0.4">
      <c r="K13" s="58" t="s">
        <v>88</v>
      </c>
      <c r="L13" s="68"/>
      <c r="M13" s="59" t="s">
        <v>87</v>
      </c>
      <c r="N13" s="68"/>
      <c r="O13" s="68"/>
      <c r="P13" s="68"/>
      <c r="Q13" s="68"/>
      <c r="R13" s="67"/>
    </row>
    <row r="14" spans="11:18" ht="10.75" thickBot="1" x14ac:dyDescent="0.3">
      <c r="K14" s="57" t="s">
        <v>86</v>
      </c>
      <c r="L14" s="69"/>
      <c r="M14" s="69" t="s">
        <v>85</v>
      </c>
      <c r="N14" s="69" t="s">
        <v>84</v>
      </c>
      <c r="O14" s="69" t="s">
        <v>94</v>
      </c>
      <c r="P14" s="69" t="s">
        <v>93</v>
      </c>
      <c r="Q14" s="69" t="s">
        <v>92</v>
      </c>
      <c r="R14" s="70" t="s">
        <v>89</v>
      </c>
    </row>
    <row r="15" spans="11:18" x14ac:dyDescent="0.25">
      <c r="K15" s="71">
        <v>45289</v>
      </c>
      <c r="L15" s="38"/>
      <c r="M15" s="43">
        <v>45289</v>
      </c>
      <c r="N15" s="38" t="s">
        <v>69</v>
      </c>
      <c r="O15" s="38" t="s">
        <v>68</v>
      </c>
      <c r="P15" s="38" t="s">
        <v>91</v>
      </c>
      <c r="Q15" s="42">
        <v>8.5</v>
      </c>
    </row>
    <row r="16" spans="11:18" x14ac:dyDescent="0.25">
      <c r="K16" s="72" t="s">
        <v>69</v>
      </c>
      <c r="L16" s="38"/>
      <c r="M16" s="43">
        <v>45280</v>
      </c>
      <c r="N16" s="38" t="s">
        <v>39</v>
      </c>
      <c r="O16" s="38" t="s">
        <v>79</v>
      </c>
      <c r="P16" s="38" t="s">
        <v>78</v>
      </c>
      <c r="Q16" s="42">
        <v>400</v>
      </c>
    </row>
    <row r="17" spans="11:17" x14ac:dyDescent="0.25">
      <c r="K17" s="72" t="s">
        <v>68</v>
      </c>
      <c r="L17" s="38"/>
      <c r="M17" s="43">
        <v>45278</v>
      </c>
      <c r="N17" s="38" t="s">
        <v>39</v>
      </c>
      <c r="O17" s="38" t="s">
        <v>77</v>
      </c>
      <c r="P17" s="38" t="s">
        <v>76</v>
      </c>
      <c r="Q17" s="42">
        <v>1931.05</v>
      </c>
    </row>
    <row r="18" spans="11:17" x14ac:dyDescent="0.25">
      <c r="K18" s="73">
        <v>8.5</v>
      </c>
      <c r="L18" s="38"/>
      <c r="M18" s="43">
        <v>45272</v>
      </c>
      <c r="N18" s="38" t="s">
        <v>39</v>
      </c>
      <c r="O18" s="38" t="s">
        <v>75</v>
      </c>
      <c r="P18" s="38" t="s">
        <v>74</v>
      </c>
      <c r="Q18" s="42">
        <v>253.24</v>
      </c>
    </row>
    <row r="19" spans="11:17" x14ac:dyDescent="0.25">
      <c r="K19" s="73">
        <v>9769.2999999999993</v>
      </c>
      <c r="L19" s="38"/>
      <c r="M19" s="43">
        <v>45268</v>
      </c>
      <c r="N19" s="38" t="s">
        <v>62</v>
      </c>
      <c r="O19" s="38" t="s">
        <v>61</v>
      </c>
      <c r="P19" s="38" t="s">
        <v>73</v>
      </c>
      <c r="Q19" s="42">
        <v>-191.34</v>
      </c>
    </row>
    <row r="20" spans="11:17" x14ac:dyDescent="0.25">
      <c r="K20" s="75">
        <v>45280</v>
      </c>
      <c r="L20" s="38"/>
      <c r="M20" s="43">
        <v>45267</v>
      </c>
      <c r="N20" s="38" t="s">
        <v>39</v>
      </c>
      <c r="O20" s="38" t="s">
        <v>72</v>
      </c>
      <c r="P20" s="38" t="s">
        <v>71</v>
      </c>
      <c r="Q20" s="42">
        <v>250</v>
      </c>
    </row>
    <row r="21" spans="11:17" x14ac:dyDescent="0.25">
      <c r="K21" s="54" t="s">
        <v>39</v>
      </c>
      <c r="L21" s="38"/>
      <c r="M21" s="43">
        <v>45261</v>
      </c>
      <c r="N21" s="38" t="s">
        <v>62</v>
      </c>
      <c r="O21" s="38" t="s">
        <v>61</v>
      </c>
      <c r="P21" s="38" t="s">
        <v>70</v>
      </c>
      <c r="Q21" s="42">
        <v>-28.59</v>
      </c>
    </row>
    <row r="22" spans="11:17" x14ac:dyDescent="0.25">
      <c r="K22" s="54" t="s">
        <v>79</v>
      </c>
      <c r="L22" s="38"/>
      <c r="M22" s="43">
        <v>45260</v>
      </c>
      <c r="N22" s="38" t="s">
        <v>69</v>
      </c>
      <c r="O22" s="38" t="s">
        <v>68</v>
      </c>
      <c r="P22" s="38" t="s">
        <v>91</v>
      </c>
      <c r="Q22" s="42">
        <v>8.5</v>
      </c>
    </row>
    <row r="23" spans="11:17" x14ac:dyDescent="0.25">
      <c r="K23" s="54" t="s">
        <v>78</v>
      </c>
      <c r="L23" s="38"/>
      <c r="M23" s="43">
        <v>45258</v>
      </c>
      <c r="N23" s="38" t="s">
        <v>62</v>
      </c>
      <c r="O23" s="38" t="s">
        <v>61</v>
      </c>
      <c r="P23" s="38" t="s">
        <v>67</v>
      </c>
      <c r="Q23" s="42">
        <v>-191.2</v>
      </c>
    </row>
    <row r="24" spans="11:17" x14ac:dyDescent="0.25">
      <c r="K24" s="74">
        <v>400</v>
      </c>
      <c r="L24" s="38"/>
      <c r="M24" s="43">
        <v>45257</v>
      </c>
      <c r="N24" s="38" t="s">
        <v>66</v>
      </c>
      <c r="O24" s="38" t="s">
        <v>65</v>
      </c>
      <c r="P24" s="38" t="s">
        <v>64</v>
      </c>
      <c r="Q24" s="42">
        <v>8695.0499999999993</v>
      </c>
    </row>
    <row r="25" spans="11:17" x14ac:dyDescent="0.25">
      <c r="K25" s="74">
        <v>9777.7999999999993</v>
      </c>
      <c r="L25" s="38"/>
      <c r="M25" s="43">
        <v>45252</v>
      </c>
      <c r="N25" s="38" t="s">
        <v>62</v>
      </c>
      <c r="O25" s="38" t="s">
        <v>61</v>
      </c>
      <c r="P25" s="38" t="s">
        <v>63</v>
      </c>
      <c r="Q25" s="42">
        <v>-192.54</v>
      </c>
    </row>
    <row r="26" spans="11:17" x14ac:dyDescent="0.25">
      <c r="K26" s="71">
        <v>45278</v>
      </c>
      <c r="L26" s="38"/>
      <c r="M26" s="43">
        <v>45247</v>
      </c>
      <c r="N26" s="38" t="s">
        <v>62</v>
      </c>
      <c r="O26" s="38" t="s">
        <v>61</v>
      </c>
      <c r="P26" s="38" t="s">
        <v>60</v>
      </c>
      <c r="Q26" s="42">
        <v>-614.09</v>
      </c>
    </row>
    <row r="27" spans="11:17" x14ac:dyDescent="0.25">
      <c r="K27" s="72" t="s">
        <v>39</v>
      </c>
      <c r="L27" s="38"/>
      <c r="M27" s="43">
        <v>45244</v>
      </c>
      <c r="N27" s="38" t="s">
        <v>39</v>
      </c>
      <c r="O27" s="38" t="s">
        <v>59</v>
      </c>
      <c r="P27" s="38" t="s">
        <v>58</v>
      </c>
      <c r="Q27" s="42">
        <v>230</v>
      </c>
    </row>
    <row r="28" spans="11:17" x14ac:dyDescent="0.25">
      <c r="K28" s="72" t="s">
        <v>77</v>
      </c>
      <c r="L28" s="38"/>
      <c r="M28" s="43">
        <v>45244</v>
      </c>
      <c r="N28" s="38" t="s">
        <v>39</v>
      </c>
      <c r="O28" s="38" t="s">
        <v>57</v>
      </c>
      <c r="P28" s="38" t="s">
        <v>56</v>
      </c>
      <c r="Q28" s="42">
        <v>200</v>
      </c>
    </row>
    <row r="29" spans="11:17" x14ac:dyDescent="0.25">
      <c r="K29" s="72" t="s">
        <v>76</v>
      </c>
      <c r="L29" s="38"/>
      <c r="M29" s="43">
        <v>45243</v>
      </c>
      <c r="N29" s="38" t="s">
        <v>39</v>
      </c>
      <c r="O29" s="38" t="s">
        <v>55</v>
      </c>
      <c r="P29" s="38" t="s">
        <v>54</v>
      </c>
      <c r="Q29" s="42">
        <v>4887.37</v>
      </c>
    </row>
    <row r="30" spans="11:17" x14ac:dyDescent="0.25">
      <c r="K30" s="73">
        <v>1931.05</v>
      </c>
      <c r="L30" s="38"/>
      <c r="M30" s="43">
        <v>45243</v>
      </c>
      <c r="N30" s="38" t="s">
        <v>39</v>
      </c>
      <c r="O30" s="38" t="s">
        <v>53</v>
      </c>
      <c r="P30" s="38" t="s">
        <v>52</v>
      </c>
      <c r="Q30" s="42">
        <v>-1120</v>
      </c>
    </row>
    <row r="31" spans="11:17" x14ac:dyDescent="0.25">
      <c r="K31" s="73">
        <v>10177.799999999999</v>
      </c>
      <c r="L31" s="38"/>
      <c r="M31" s="43">
        <v>45238</v>
      </c>
      <c r="N31" s="38" t="s">
        <v>39</v>
      </c>
      <c r="O31" s="38" t="s">
        <v>51</v>
      </c>
      <c r="P31" s="38" t="s">
        <v>50</v>
      </c>
      <c r="Q31" s="42">
        <v>240</v>
      </c>
    </row>
    <row r="32" spans="11:17" x14ac:dyDescent="0.25">
      <c r="K32" s="75">
        <v>45272</v>
      </c>
      <c r="L32" s="38"/>
      <c r="M32" s="43">
        <v>45236</v>
      </c>
      <c r="N32" s="38" t="s">
        <v>39</v>
      </c>
      <c r="O32" s="38" t="s">
        <v>49</v>
      </c>
      <c r="P32" s="38" t="s">
        <v>48</v>
      </c>
      <c r="Q32" s="42">
        <v>200</v>
      </c>
    </row>
    <row r="33" spans="11:17" x14ac:dyDescent="0.25">
      <c r="K33" s="54" t="s">
        <v>39</v>
      </c>
      <c r="L33" s="38"/>
      <c r="M33" s="43">
        <v>45236</v>
      </c>
      <c r="N33" s="38" t="s">
        <v>39</v>
      </c>
      <c r="O33" s="38" t="s">
        <v>47</v>
      </c>
      <c r="P33" s="38" t="s">
        <v>46</v>
      </c>
      <c r="Q33" s="42">
        <v>200</v>
      </c>
    </row>
    <row r="34" spans="11:17" x14ac:dyDescent="0.25">
      <c r="K34" s="54" t="s">
        <v>75</v>
      </c>
      <c r="L34" s="38"/>
      <c r="M34" s="43">
        <v>45236</v>
      </c>
      <c r="N34" s="38" t="s">
        <v>39</v>
      </c>
      <c r="O34" s="38" t="s">
        <v>45</v>
      </c>
      <c r="P34" s="38" t="s">
        <v>44</v>
      </c>
      <c r="Q34" s="42">
        <v>200</v>
      </c>
    </row>
    <row r="35" spans="11:17" x14ac:dyDescent="0.25">
      <c r="K35" s="54" t="s">
        <v>74</v>
      </c>
      <c r="L35" s="38"/>
      <c r="M35" s="43">
        <v>45233</v>
      </c>
      <c r="N35" s="38" t="s">
        <v>39</v>
      </c>
      <c r="O35" s="38" t="s">
        <v>43</v>
      </c>
      <c r="P35" s="38" t="s">
        <v>42</v>
      </c>
      <c r="Q35" s="42">
        <v>200</v>
      </c>
    </row>
    <row r="36" spans="11:17" x14ac:dyDescent="0.25">
      <c r="K36" s="74">
        <v>253.24</v>
      </c>
      <c r="L36" s="38"/>
      <c r="M36" s="43">
        <v>45233</v>
      </c>
      <c r="N36" s="38" t="s">
        <v>39</v>
      </c>
      <c r="O36" s="38" t="s">
        <v>41</v>
      </c>
      <c r="P36" s="38" t="s">
        <v>40</v>
      </c>
      <c r="Q36" s="42">
        <v>100</v>
      </c>
    </row>
    <row r="37" spans="11:17" x14ac:dyDescent="0.25">
      <c r="K37" s="74">
        <v>12108.85</v>
      </c>
      <c r="L37" s="38"/>
      <c r="M37" s="43">
        <v>45231</v>
      </c>
      <c r="N37" s="38" t="s">
        <v>39</v>
      </c>
      <c r="O37" s="38" t="s">
        <v>38</v>
      </c>
      <c r="P37" s="38" t="s">
        <v>37</v>
      </c>
      <c r="Q37" s="42">
        <v>20</v>
      </c>
    </row>
    <row r="38" spans="11:17" x14ac:dyDescent="0.25">
      <c r="K38" s="75">
        <v>45268</v>
      </c>
      <c r="L38" s="38"/>
      <c r="M38" s="38"/>
      <c r="N38" s="38"/>
      <c r="O38" s="38"/>
      <c r="P38" s="38"/>
      <c r="Q38" s="38"/>
    </row>
    <row r="39" spans="11:17" x14ac:dyDescent="0.25">
      <c r="K39" s="38" t="s">
        <v>62</v>
      </c>
      <c r="L39" s="38"/>
      <c r="M39" s="38"/>
      <c r="N39" s="38"/>
      <c r="O39" s="38"/>
      <c r="P39" s="38"/>
      <c r="Q39" s="38"/>
    </row>
    <row r="40" spans="11:17" x14ac:dyDescent="0.25">
      <c r="K40" s="38" t="s">
        <v>61</v>
      </c>
      <c r="L40" s="38"/>
      <c r="M40" s="38"/>
      <c r="N40" s="38"/>
      <c r="O40" s="38"/>
      <c r="P40" s="38"/>
      <c r="Q40" s="38"/>
    </row>
    <row r="41" spans="11:17" x14ac:dyDescent="0.25">
      <c r="K41" s="38" t="s">
        <v>73</v>
      </c>
      <c r="L41" s="38"/>
      <c r="M41" s="38"/>
      <c r="N41" s="38"/>
      <c r="O41" s="38"/>
      <c r="P41" s="38"/>
      <c r="Q41" s="38"/>
    </row>
    <row r="42" spans="11:17" x14ac:dyDescent="0.25">
      <c r="K42" s="39">
        <v>-191.34</v>
      </c>
      <c r="L42" s="38"/>
      <c r="M42" s="38"/>
      <c r="N42" s="38"/>
      <c r="O42" s="38"/>
      <c r="P42" s="38"/>
      <c r="Q42" s="38"/>
    </row>
    <row r="43" spans="11:17" x14ac:dyDescent="0.25">
      <c r="K43" s="39">
        <v>12362.09</v>
      </c>
      <c r="L43" s="38"/>
      <c r="M43" s="38"/>
      <c r="N43" s="38"/>
      <c r="O43" s="38"/>
      <c r="P43" s="38"/>
      <c r="Q43" s="38"/>
    </row>
    <row r="44" spans="11:17" x14ac:dyDescent="0.25">
      <c r="K44" s="40">
        <v>45267</v>
      </c>
      <c r="L44" s="38"/>
      <c r="M44" s="38"/>
      <c r="N44" s="38"/>
      <c r="O44" s="38"/>
      <c r="P44" s="38"/>
      <c r="Q44" s="38"/>
    </row>
    <row r="45" spans="11:17" x14ac:dyDescent="0.25">
      <c r="K45" s="38" t="s">
        <v>39</v>
      </c>
      <c r="L45" s="38"/>
      <c r="M45" s="38"/>
      <c r="N45" s="38"/>
      <c r="O45" s="38"/>
      <c r="P45" s="38"/>
      <c r="Q45" s="38"/>
    </row>
    <row r="46" spans="11:17" x14ac:dyDescent="0.25">
      <c r="K46" s="38" t="s">
        <v>72</v>
      </c>
      <c r="L46" s="38"/>
      <c r="M46" s="38"/>
      <c r="N46" s="38"/>
      <c r="O46" s="38"/>
      <c r="P46" s="38"/>
      <c r="Q46" s="38"/>
    </row>
    <row r="47" spans="11:17" x14ac:dyDescent="0.25">
      <c r="K47" s="38" t="s">
        <v>71</v>
      </c>
      <c r="L47" s="38"/>
      <c r="M47" s="38"/>
      <c r="N47" s="38"/>
      <c r="O47" s="38"/>
      <c r="P47" s="38"/>
      <c r="Q47" s="38"/>
    </row>
    <row r="48" spans="11:17" x14ac:dyDescent="0.25">
      <c r="K48" s="39">
        <v>250</v>
      </c>
      <c r="L48" s="38"/>
      <c r="M48" s="38"/>
      <c r="N48" s="38"/>
      <c r="O48" s="38"/>
      <c r="P48" s="38"/>
      <c r="Q48" s="38"/>
    </row>
    <row r="49" spans="11:17" x14ac:dyDescent="0.25">
      <c r="K49" s="39">
        <v>12170.75</v>
      </c>
      <c r="L49" s="38"/>
      <c r="M49" s="38"/>
      <c r="N49" s="38"/>
      <c r="O49" s="38"/>
      <c r="P49" s="38"/>
      <c r="Q49" s="38"/>
    </row>
    <row r="50" spans="11:17" x14ac:dyDescent="0.25">
      <c r="K50" s="40">
        <v>45261</v>
      </c>
      <c r="L50" s="38"/>
      <c r="M50" s="38"/>
      <c r="N50" s="38"/>
      <c r="O50" s="38"/>
      <c r="P50" s="38"/>
      <c r="Q50" s="38"/>
    </row>
    <row r="51" spans="11:17" x14ac:dyDescent="0.25">
      <c r="K51" s="38" t="s">
        <v>62</v>
      </c>
      <c r="L51" s="38"/>
      <c r="M51" s="38"/>
      <c r="N51" s="38"/>
      <c r="O51" s="38"/>
      <c r="P51" s="38"/>
      <c r="Q51" s="38"/>
    </row>
    <row r="52" spans="11:17" x14ac:dyDescent="0.25">
      <c r="K52" s="38" t="s">
        <v>61</v>
      </c>
      <c r="L52" s="38"/>
      <c r="M52" s="38"/>
      <c r="N52" s="38"/>
      <c r="O52" s="38"/>
      <c r="P52" s="38"/>
      <c r="Q52" s="38"/>
    </row>
    <row r="53" spans="11:17" x14ac:dyDescent="0.25">
      <c r="K53" s="38" t="s">
        <v>70</v>
      </c>
      <c r="L53" s="38"/>
      <c r="M53" s="38"/>
      <c r="N53" s="38"/>
      <c r="O53" s="38"/>
      <c r="P53" s="38"/>
      <c r="Q53" s="38"/>
    </row>
    <row r="54" spans="11:17" x14ac:dyDescent="0.25">
      <c r="K54" s="39">
        <v>-28.59</v>
      </c>
      <c r="L54" s="38"/>
      <c r="M54" s="38"/>
      <c r="N54" s="38"/>
      <c r="O54" s="38"/>
      <c r="P54" s="38"/>
      <c r="Q54" s="38"/>
    </row>
    <row r="55" spans="11:17" x14ac:dyDescent="0.25">
      <c r="K55" s="39">
        <v>12420.75</v>
      </c>
      <c r="L55" s="38"/>
      <c r="M55" s="38"/>
      <c r="N55" s="38"/>
      <c r="O55" s="38"/>
      <c r="P55" s="38"/>
      <c r="Q55" s="38"/>
    </row>
    <row r="56" spans="11:17" x14ac:dyDescent="0.25">
      <c r="K56" s="40">
        <v>45260</v>
      </c>
      <c r="L56" s="38"/>
      <c r="M56" s="38"/>
      <c r="N56" s="38"/>
      <c r="O56" s="38"/>
      <c r="P56" s="38"/>
      <c r="Q56" s="38"/>
    </row>
    <row r="57" spans="11:17" x14ac:dyDescent="0.25">
      <c r="K57" s="38" t="s">
        <v>69</v>
      </c>
      <c r="L57" s="38"/>
      <c r="M57" s="38"/>
      <c r="N57" s="38"/>
      <c r="O57" s="38"/>
      <c r="P57" s="38"/>
      <c r="Q57" s="38"/>
    </row>
    <row r="58" spans="11:17" x14ac:dyDescent="0.25">
      <c r="K58" s="38" t="s">
        <v>68</v>
      </c>
      <c r="L58" s="38"/>
      <c r="M58" s="38"/>
      <c r="N58" s="38"/>
      <c r="O58" s="38"/>
      <c r="P58" s="38"/>
      <c r="Q58" s="38"/>
    </row>
    <row r="59" spans="11:17" x14ac:dyDescent="0.25">
      <c r="K59" s="39">
        <v>8.5</v>
      </c>
      <c r="L59" s="38"/>
      <c r="M59" s="38"/>
      <c r="N59" s="38"/>
      <c r="O59" s="38"/>
      <c r="P59" s="38"/>
      <c r="Q59" s="38"/>
    </row>
    <row r="60" spans="11:17" x14ac:dyDescent="0.25">
      <c r="K60" s="39">
        <v>12392.16</v>
      </c>
      <c r="L60" s="38"/>
      <c r="M60" s="38"/>
      <c r="N60" s="38"/>
      <c r="O60" s="38"/>
      <c r="P60" s="38"/>
      <c r="Q60" s="38"/>
    </row>
    <row r="61" spans="11:17" x14ac:dyDescent="0.25">
      <c r="K61" s="40">
        <v>45258</v>
      </c>
      <c r="L61" s="38"/>
      <c r="M61" s="38"/>
      <c r="N61" s="38"/>
      <c r="O61" s="38"/>
      <c r="P61" s="38"/>
      <c r="Q61" s="38"/>
    </row>
    <row r="62" spans="11:17" x14ac:dyDescent="0.25">
      <c r="K62" s="38" t="s">
        <v>62</v>
      </c>
      <c r="L62" s="38"/>
      <c r="M62" s="38"/>
      <c r="N62" s="38"/>
      <c r="O62" s="38"/>
      <c r="P62" s="38"/>
      <c r="Q62" s="38"/>
    </row>
    <row r="63" spans="11:17" x14ac:dyDescent="0.25">
      <c r="K63" s="38" t="s">
        <v>61</v>
      </c>
      <c r="L63" s="38"/>
      <c r="M63" s="38"/>
      <c r="N63" s="38"/>
      <c r="O63" s="38"/>
      <c r="P63" s="38"/>
      <c r="Q63" s="38"/>
    </row>
    <row r="64" spans="11:17" x14ac:dyDescent="0.25">
      <c r="K64" s="38" t="s">
        <v>67</v>
      </c>
      <c r="L64" s="38"/>
      <c r="M64" s="38"/>
      <c r="N64" s="38"/>
      <c r="O64" s="38"/>
      <c r="P64" s="38"/>
      <c r="Q64" s="38"/>
    </row>
    <row r="65" spans="11:17" x14ac:dyDescent="0.25">
      <c r="K65" s="39">
        <v>-191.2</v>
      </c>
      <c r="L65" s="38"/>
      <c r="M65" s="38"/>
      <c r="N65" s="38"/>
      <c r="O65" s="38"/>
      <c r="P65" s="38"/>
      <c r="Q65" s="38"/>
    </row>
    <row r="66" spans="11:17" x14ac:dyDescent="0.25">
      <c r="K66" s="39">
        <v>12400.66</v>
      </c>
      <c r="L66" s="38"/>
      <c r="M66" s="38"/>
      <c r="N66" s="38"/>
      <c r="O66" s="38"/>
      <c r="P66" s="38"/>
      <c r="Q66" s="38"/>
    </row>
    <row r="67" spans="11:17" x14ac:dyDescent="0.25">
      <c r="K67" s="40">
        <v>45257</v>
      </c>
      <c r="L67" s="38"/>
      <c r="M67" s="38"/>
      <c r="N67" s="38"/>
      <c r="O67" s="38"/>
      <c r="P67" s="38"/>
      <c r="Q67" s="38"/>
    </row>
    <row r="68" spans="11:17" x14ac:dyDescent="0.25">
      <c r="K68" s="38" t="s">
        <v>66</v>
      </c>
      <c r="L68" s="38"/>
      <c r="M68" s="38"/>
      <c r="N68" s="38"/>
      <c r="O68" s="38"/>
      <c r="P68" s="38"/>
      <c r="Q68" s="38"/>
    </row>
    <row r="69" spans="11:17" x14ac:dyDescent="0.25">
      <c r="K69" s="38" t="s">
        <v>65</v>
      </c>
      <c r="L69" s="38"/>
      <c r="M69" s="38"/>
      <c r="N69" s="38"/>
      <c r="O69" s="38"/>
      <c r="P69" s="38"/>
      <c r="Q69" s="38"/>
    </row>
    <row r="70" spans="11:17" x14ac:dyDescent="0.25">
      <c r="K70" s="38" t="s">
        <v>64</v>
      </c>
      <c r="L70" s="38"/>
      <c r="M70" s="38"/>
      <c r="N70" s="38"/>
      <c r="O70" s="38"/>
      <c r="P70" s="38"/>
      <c r="Q70" s="38"/>
    </row>
    <row r="71" spans="11:17" x14ac:dyDescent="0.25">
      <c r="K71" s="39">
        <v>8695.0499999999993</v>
      </c>
      <c r="L71" s="38"/>
      <c r="M71" s="38"/>
      <c r="N71" s="38"/>
      <c r="O71" s="38"/>
      <c r="P71" s="38"/>
      <c r="Q71" s="38"/>
    </row>
    <row r="72" spans="11:17" x14ac:dyDescent="0.25">
      <c r="K72" s="39">
        <v>12209.46</v>
      </c>
      <c r="L72" s="38"/>
      <c r="M72" s="38"/>
      <c r="N72" s="38"/>
      <c r="O72" s="38"/>
      <c r="P72" s="38"/>
      <c r="Q72" s="38"/>
    </row>
    <row r="73" spans="11:17" x14ac:dyDescent="0.25">
      <c r="K73" s="40">
        <v>45252</v>
      </c>
      <c r="L73" s="38"/>
      <c r="M73" s="38"/>
      <c r="N73" s="38"/>
      <c r="O73" s="38"/>
      <c r="P73" s="38"/>
      <c r="Q73" s="38"/>
    </row>
    <row r="74" spans="11:17" x14ac:dyDescent="0.25">
      <c r="K74" s="38" t="s">
        <v>62</v>
      </c>
      <c r="L74" s="38"/>
      <c r="M74" s="38"/>
      <c r="N74" s="38"/>
      <c r="O74" s="38"/>
      <c r="P74" s="38"/>
      <c r="Q74" s="38"/>
    </row>
    <row r="75" spans="11:17" x14ac:dyDescent="0.25">
      <c r="K75" s="38" t="s">
        <v>61</v>
      </c>
      <c r="L75" s="38"/>
      <c r="M75" s="38"/>
      <c r="N75" s="38"/>
      <c r="O75" s="38"/>
      <c r="P75" s="38"/>
      <c r="Q75" s="38"/>
    </row>
    <row r="76" spans="11:17" x14ac:dyDescent="0.25">
      <c r="K76" s="38" t="s">
        <v>63</v>
      </c>
      <c r="L76" s="38"/>
      <c r="M76" s="38"/>
      <c r="N76" s="38"/>
      <c r="O76" s="38"/>
      <c r="P76" s="38"/>
      <c r="Q76" s="38"/>
    </row>
    <row r="77" spans="11:17" x14ac:dyDescent="0.25">
      <c r="K77" s="39">
        <v>-192.54</v>
      </c>
      <c r="L77" s="38"/>
      <c r="M77" s="38"/>
      <c r="N77" s="38"/>
      <c r="O77" s="38"/>
      <c r="P77" s="38"/>
      <c r="Q77" s="38"/>
    </row>
    <row r="78" spans="11:17" x14ac:dyDescent="0.25">
      <c r="K78" s="39">
        <v>20904.509999999998</v>
      </c>
      <c r="L78" s="38"/>
      <c r="M78" s="38"/>
      <c r="N78" s="38"/>
      <c r="O78" s="38"/>
      <c r="P78" s="38"/>
      <c r="Q78" s="38"/>
    </row>
    <row r="79" spans="11:17" x14ac:dyDescent="0.25">
      <c r="K79" s="40">
        <v>45247</v>
      </c>
      <c r="L79" s="38"/>
      <c r="M79" s="38"/>
      <c r="N79" s="38"/>
      <c r="O79" s="38"/>
      <c r="P79" s="38"/>
      <c r="Q79" s="38"/>
    </row>
    <row r="80" spans="11:17" x14ac:dyDescent="0.25">
      <c r="K80" s="38" t="s">
        <v>62</v>
      </c>
      <c r="L80" s="38"/>
      <c r="M80" s="38"/>
      <c r="N80" s="38"/>
      <c r="O80" s="38"/>
      <c r="P80" s="38"/>
      <c r="Q80" s="38"/>
    </row>
    <row r="81" spans="11:17" x14ac:dyDescent="0.25">
      <c r="K81" s="38" t="s">
        <v>61</v>
      </c>
      <c r="L81" s="38"/>
      <c r="M81" s="38"/>
      <c r="N81" s="38"/>
      <c r="O81" s="38"/>
      <c r="P81" s="38"/>
      <c r="Q81" s="38"/>
    </row>
    <row r="82" spans="11:17" x14ac:dyDescent="0.25">
      <c r="K82" s="38" t="s">
        <v>60</v>
      </c>
      <c r="L82" s="38"/>
      <c r="M82" s="38"/>
      <c r="N82" s="38"/>
      <c r="O82" s="38"/>
      <c r="P82" s="38"/>
      <c r="Q82" s="38"/>
    </row>
    <row r="83" spans="11:17" x14ac:dyDescent="0.25">
      <c r="K83" s="39">
        <v>-614.09</v>
      </c>
      <c r="L83" s="38"/>
      <c r="M83" s="38"/>
      <c r="N83" s="38"/>
      <c r="O83" s="38"/>
      <c r="P83" s="38"/>
      <c r="Q83" s="38"/>
    </row>
    <row r="84" spans="11:17" x14ac:dyDescent="0.25">
      <c r="K84" s="39">
        <v>20711.97</v>
      </c>
      <c r="L84" s="38"/>
      <c r="M84" s="38"/>
      <c r="N84" s="38"/>
      <c r="O84" s="38"/>
      <c r="P84" s="38"/>
      <c r="Q84" s="38"/>
    </row>
    <row r="85" spans="11:17" x14ac:dyDescent="0.25">
      <c r="K85" s="40">
        <v>45244</v>
      </c>
      <c r="L85" s="38"/>
      <c r="M85" s="38"/>
      <c r="N85" s="38"/>
      <c r="O85" s="38"/>
      <c r="P85" s="38"/>
      <c r="Q85" s="38"/>
    </row>
    <row r="86" spans="11:17" x14ac:dyDescent="0.25">
      <c r="K86" s="38" t="s">
        <v>39</v>
      </c>
      <c r="L86" s="38"/>
      <c r="M86" s="38"/>
      <c r="N86" s="38"/>
      <c r="O86" s="38"/>
      <c r="P86" s="38"/>
      <c r="Q86" s="38"/>
    </row>
    <row r="87" spans="11:17" x14ac:dyDescent="0.25">
      <c r="K87" s="38" t="s">
        <v>59</v>
      </c>
      <c r="L87" s="38"/>
      <c r="M87" s="38"/>
      <c r="N87" s="38"/>
      <c r="O87" s="38"/>
      <c r="P87" s="38"/>
      <c r="Q87" s="38"/>
    </row>
    <row r="88" spans="11:17" x14ac:dyDescent="0.25">
      <c r="K88" s="38" t="s">
        <v>58</v>
      </c>
      <c r="L88" s="38"/>
      <c r="M88" s="38"/>
      <c r="N88" s="38"/>
      <c r="O88" s="38"/>
      <c r="P88" s="38"/>
      <c r="Q88" s="38"/>
    </row>
    <row r="89" spans="11:17" x14ac:dyDescent="0.25">
      <c r="K89" s="39">
        <v>230</v>
      </c>
      <c r="L89" s="38"/>
      <c r="M89" s="38"/>
      <c r="N89" s="38"/>
      <c r="O89" s="38"/>
      <c r="P89" s="38"/>
      <c r="Q89" s="38"/>
    </row>
    <row r="90" spans="11:17" x14ac:dyDescent="0.25">
      <c r="K90" s="39">
        <v>20097.88</v>
      </c>
      <c r="L90" s="38"/>
      <c r="M90" s="38"/>
      <c r="N90" s="38"/>
      <c r="O90" s="38"/>
      <c r="P90" s="38"/>
      <c r="Q90" s="38"/>
    </row>
    <row r="91" spans="11:17" x14ac:dyDescent="0.25">
      <c r="K91" s="40">
        <v>45244</v>
      </c>
      <c r="L91" s="38"/>
      <c r="M91" s="38"/>
      <c r="N91" s="38"/>
      <c r="O91" s="38"/>
      <c r="P91" s="38"/>
      <c r="Q91" s="38"/>
    </row>
    <row r="92" spans="11:17" x14ac:dyDescent="0.25">
      <c r="K92" s="38" t="s">
        <v>39</v>
      </c>
      <c r="L92" s="38"/>
      <c r="M92" s="38"/>
      <c r="N92" s="38"/>
      <c r="O92" s="38"/>
      <c r="P92" s="38"/>
      <c r="Q92" s="38"/>
    </row>
    <row r="93" spans="11:17" x14ac:dyDescent="0.25">
      <c r="K93" s="38" t="s">
        <v>57</v>
      </c>
      <c r="L93" s="38"/>
      <c r="M93" s="38"/>
      <c r="N93" s="38"/>
      <c r="O93" s="38"/>
      <c r="P93" s="38"/>
      <c r="Q93" s="38"/>
    </row>
    <row r="94" spans="11:17" x14ac:dyDescent="0.25">
      <c r="K94" s="38" t="s">
        <v>56</v>
      </c>
      <c r="L94" s="38"/>
      <c r="M94" s="38"/>
      <c r="N94" s="38"/>
      <c r="O94" s="38"/>
      <c r="P94" s="38"/>
      <c r="Q94" s="38"/>
    </row>
    <row r="95" spans="11:17" x14ac:dyDescent="0.25">
      <c r="K95" s="39">
        <v>200</v>
      </c>
      <c r="L95" s="38"/>
      <c r="M95" s="38"/>
      <c r="N95" s="38"/>
      <c r="O95" s="38"/>
      <c r="P95" s="38"/>
      <c r="Q95" s="38"/>
    </row>
    <row r="96" spans="11:17" x14ac:dyDescent="0.25">
      <c r="K96" s="39">
        <v>20327.88</v>
      </c>
      <c r="L96" s="38"/>
      <c r="M96" s="38"/>
      <c r="N96" s="38"/>
      <c r="O96" s="38"/>
      <c r="P96" s="38"/>
      <c r="Q96" s="38"/>
    </row>
    <row r="97" spans="11:17" x14ac:dyDescent="0.25">
      <c r="K97" s="40">
        <v>45243</v>
      </c>
      <c r="L97" s="38"/>
      <c r="M97" s="38"/>
      <c r="N97" s="38"/>
      <c r="O97" s="38"/>
      <c r="P97" s="38"/>
      <c r="Q97" s="38"/>
    </row>
    <row r="98" spans="11:17" x14ac:dyDescent="0.25">
      <c r="K98" s="38" t="s">
        <v>39</v>
      </c>
      <c r="L98" s="38"/>
      <c r="M98" s="38"/>
      <c r="N98" s="38"/>
      <c r="O98" s="38"/>
      <c r="P98" s="38"/>
      <c r="Q98" s="38"/>
    </row>
    <row r="99" spans="11:17" x14ac:dyDescent="0.25">
      <c r="K99" s="38" t="s">
        <v>55</v>
      </c>
      <c r="L99" s="38"/>
      <c r="M99" s="38"/>
      <c r="N99" s="38"/>
      <c r="O99" s="38"/>
      <c r="P99" s="38"/>
      <c r="Q99" s="38"/>
    </row>
    <row r="100" spans="11:17" x14ac:dyDescent="0.25">
      <c r="K100" s="38" t="s">
        <v>54</v>
      </c>
      <c r="L100" s="38"/>
      <c r="M100" s="38"/>
      <c r="N100" s="38"/>
      <c r="O100" s="38"/>
      <c r="P100" s="38"/>
      <c r="Q100" s="38"/>
    </row>
    <row r="101" spans="11:17" x14ac:dyDescent="0.25">
      <c r="K101" s="39">
        <v>4887.37</v>
      </c>
      <c r="L101" s="38"/>
      <c r="M101" s="38"/>
      <c r="N101" s="38"/>
      <c r="O101" s="38"/>
      <c r="P101" s="38"/>
      <c r="Q101" s="38"/>
    </row>
    <row r="102" spans="11:17" x14ac:dyDescent="0.25">
      <c r="K102" s="39">
        <v>20527.88</v>
      </c>
      <c r="L102" s="38"/>
      <c r="M102" s="38"/>
      <c r="N102" s="38"/>
      <c r="O102" s="38"/>
      <c r="P102" s="38"/>
      <c r="Q102" s="38"/>
    </row>
    <row r="103" spans="11:17" x14ac:dyDescent="0.25">
      <c r="K103" s="40">
        <v>45243</v>
      </c>
      <c r="L103" s="38"/>
      <c r="M103" s="38"/>
      <c r="N103" s="38"/>
      <c r="O103" s="38"/>
      <c r="P103" s="38"/>
      <c r="Q103" s="38"/>
    </row>
    <row r="104" spans="11:17" x14ac:dyDescent="0.25">
      <c r="K104" s="38" t="s">
        <v>39</v>
      </c>
      <c r="L104" s="38"/>
      <c r="M104" s="38"/>
      <c r="N104" s="38"/>
      <c r="O104" s="38"/>
      <c r="P104" s="38"/>
      <c r="Q104" s="38"/>
    </row>
    <row r="105" spans="11:17" x14ac:dyDescent="0.25">
      <c r="K105" s="38" t="s">
        <v>53</v>
      </c>
      <c r="L105" s="38"/>
      <c r="M105" s="38"/>
      <c r="N105" s="38"/>
      <c r="O105" s="38"/>
      <c r="P105" s="38"/>
      <c r="Q105" s="38"/>
    </row>
    <row r="106" spans="11:17" x14ac:dyDescent="0.25">
      <c r="K106" s="38" t="s">
        <v>52</v>
      </c>
      <c r="L106" s="38"/>
      <c r="M106" s="38"/>
      <c r="N106" s="38"/>
      <c r="O106" s="38"/>
      <c r="P106" s="38"/>
      <c r="Q106" s="38"/>
    </row>
    <row r="107" spans="11:17" x14ac:dyDescent="0.25">
      <c r="K107" s="39">
        <v>-1120</v>
      </c>
      <c r="L107" s="38"/>
      <c r="M107" s="38"/>
      <c r="N107" s="38"/>
      <c r="O107" s="38"/>
      <c r="P107" s="38"/>
      <c r="Q107" s="38"/>
    </row>
    <row r="108" spans="11:17" x14ac:dyDescent="0.25">
      <c r="K108" s="39">
        <v>25415.25</v>
      </c>
      <c r="L108" s="38"/>
      <c r="M108" s="38"/>
      <c r="N108" s="38"/>
      <c r="O108" s="38"/>
      <c r="P108" s="38"/>
      <c r="Q108" s="38"/>
    </row>
    <row r="109" spans="11:17" x14ac:dyDescent="0.25">
      <c r="K109" s="40">
        <v>45238</v>
      </c>
      <c r="L109" s="38"/>
      <c r="M109" s="38"/>
      <c r="N109" s="38"/>
      <c r="O109" s="38"/>
      <c r="P109" s="38"/>
      <c r="Q109" s="38"/>
    </row>
    <row r="110" spans="11:17" x14ac:dyDescent="0.25">
      <c r="K110" s="38" t="s">
        <v>39</v>
      </c>
      <c r="L110" s="38"/>
      <c r="M110" s="38"/>
      <c r="N110" s="38"/>
      <c r="O110" s="38"/>
      <c r="P110" s="38"/>
      <c r="Q110" s="38"/>
    </row>
    <row r="111" spans="11:17" x14ac:dyDescent="0.25">
      <c r="K111" s="38" t="s">
        <v>51</v>
      </c>
      <c r="L111" s="38"/>
      <c r="M111" s="38"/>
      <c r="N111" s="38"/>
      <c r="O111" s="38"/>
      <c r="P111" s="38"/>
      <c r="Q111" s="38"/>
    </row>
    <row r="112" spans="11:17" x14ac:dyDescent="0.25">
      <c r="K112" s="38" t="s">
        <v>50</v>
      </c>
      <c r="L112" s="38"/>
      <c r="M112" s="38"/>
      <c r="N112" s="38"/>
      <c r="O112" s="38"/>
      <c r="P112" s="38"/>
      <c r="Q112" s="38"/>
    </row>
    <row r="113" spans="11:17" x14ac:dyDescent="0.25">
      <c r="K113" s="39">
        <v>240</v>
      </c>
      <c r="L113" s="38"/>
      <c r="M113" s="38"/>
      <c r="N113" s="38"/>
      <c r="O113" s="38"/>
      <c r="P113" s="38"/>
      <c r="Q113" s="38"/>
    </row>
    <row r="114" spans="11:17" x14ac:dyDescent="0.25">
      <c r="K114" s="39">
        <v>24295.25</v>
      </c>
      <c r="L114" s="38"/>
      <c r="M114" s="38"/>
      <c r="N114" s="38"/>
      <c r="O114" s="38"/>
      <c r="P114" s="38"/>
      <c r="Q114" s="38"/>
    </row>
    <row r="115" spans="11:17" x14ac:dyDescent="0.25">
      <c r="K115" s="40">
        <v>45236</v>
      </c>
      <c r="L115" s="38"/>
      <c r="M115" s="38"/>
      <c r="N115" s="38"/>
      <c r="O115" s="38"/>
      <c r="P115" s="38"/>
      <c r="Q115" s="38"/>
    </row>
    <row r="116" spans="11:17" x14ac:dyDescent="0.25">
      <c r="K116" s="38" t="s">
        <v>39</v>
      </c>
      <c r="L116" s="38"/>
      <c r="M116" s="38"/>
      <c r="N116" s="38"/>
      <c r="O116" s="38"/>
      <c r="P116" s="38"/>
      <c r="Q116" s="38"/>
    </row>
    <row r="117" spans="11:17" x14ac:dyDescent="0.25">
      <c r="K117" s="38" t="s">
        <v>49</v>
      </c>
      <c r="L117" s="38"/>
      <c r="M117" s="38"/>
      <c r="N117" s="38"/>
      <c r="O117" s="38"/>
      <c r="P117" s="38"/>
      <c r="Q117" s="38"/>
    </row>
    <row r="118" spans="11:17" x14ac:dyDescent="0.25">
      <c r="K118" s="38" t="s">
        <v>48</v>
      </c>
      <c r="L118" s="38"/>
      <c r="M118" s="38"/>
      <c r="N118" s="38"/>
      <c r="O118" s="38"/>
      <c r="P118" s="38"/>
      <c r="Q118" s="38"/>
    </row>
    <row r="119" spans="11:17" x14ac:dyDescent="0.25">
      <c r="K119" s="39">
        <v>200</v>
      </c>
      <c r="L119" s="38"/>
      <c r="M119" s="38"/>
      <c r="N119" s="38"/>
      <c r="O119" s="38"/>
      <c r="P119" s="38"/>
      <c r="Q119" s="38"/>
    </row>
    <row r="120" spans="11:17" x14ac:dyDescent="0.25">
      <c r="K120" s="39">
        <v>24535.25</v>
      </c>
      <c r="L120" s="38"/>
      <c r="M120" s="38"/>
      <c r="N120" s="38"/>
      <c r="O120" s="38"/>
      <c r="P120" s="38"/>
      <c r="Q120" s="38"/>
    </row>
    <row r="121" spans="11:17" x14ac:dyDescent="0.25">
      <c r="K121" s="40">
        <v>45236</v>
      </c>
      <c r="L121" s="38"/>
      <c r="M121" s="38"/>
      <c r="N121" s="38"/>
      <c r="O121" s="38"/>
      <c r="P121" s="38"/>
      <c r="Q121" s="38"/>
    </row>
    <row r="122" spans="11:17" x14ac:dyDescent="0.25">
      <c r="K122" s="38" t="s">
        <v>39</v>
      </c>
      <c r="L122" s="38"/>
      <c r="M122" s="38"/>
      <c r="N122" s="38"/>
      <c r="O122" s="38"/>
      <c r="P122" s="38"/>
      <c r="Q122" s="38"/>
    </row>
    <row r="123" spans="11:17" x14ac:dyDescent="0.25">
      <c r="K123" s="38" t="s">
        <v>47</v>
      </c>
      <c r="L123" s="38"/>
      <c r="M123" s="38"/>
      <c r="N123" s="38"/>
      <c r="O123" s="38"/>
      <c r="P123" s="38"/>
      <c r="Q123" s="38"/>
    </row>
    <row r="124" spans="11:17" x14ac:dyDescent="0.25">
      <c r="K124" s="38" t="s">
        <v>46</v>
      </c>
      <c r="L124" s="38"/>
      <c r="M124" s="38"/>
      <c r="N124" s="38"/>
      <c r="O124" s="38"/>
      <c r="P124" s="38"/>
      <c r="Q124" s="38"/>
    </row>
    <row r="125" spans="11:17" x14ac:dyDescent="0.25">
      <c r="K125" s="39">
        <v>200</v>
      </c>
      <c r="L125" s="38"/>
      <c r="M125" s="38"/>
      <c r="N125" s="38"/>
      <c r="O125" s="38"/>
      <c r="P125" s="38"/>
      <c r="Q125" s="38"/>
    </row>
    <row r="126" spans="11:17" x14ac:dyDescent="0.25">
      <c r="K126" s="39">
        <v>24735.25</v>
      </c>
      <c r="L126" s="38"/>
      <c r="M126" s="38"/>
      <c r="N126" s="38"/>
      <c r="O126" s="38"/>
      <c r="P126" s="38"/>
      <c r="Q126" s="38"/>
    </row>
    <row r="127" spans="11:17" x14ac:dyDescent="0.25">
      <c r="K127" s="40">
        <v>45236</v>
      </c>
      <c r="L127" s="38"/>
      <c r="M127" s="38"/>
      <c r="N127" s="38"/>
      <c r="O127" s="38"/>
      <c r="P127" s="38"/>
      <c r="Q127" s="38"/>
    </row>
    <row r="128" spans="11:17" x14ac:dyDescent="0.25">
      <c r="K128" s="38" t="s">
        <v>39</v>
      </c>
      <c r="L128" s="38"/>
      <c r="M128" s="38"/>
      <c r="N128" s="38"/>
      <c r="O128" s="38"/>
      <c r="P128" s="38"/>
      <c r="Q128" s="38"/>
    </row>
    <row r="129" spans="11:17" x14ac:dyDescent="0.25">
      <c r="K129" s="38" t="s">
        <v>45</v>
      </c>
      <c r="L129" s="38"/>
      <c r="M129" s="38"/>
      <c r="N129" s="38"/>
      <c r="O129" s="38"/>
      <c r="P129" s="38"/>
      <c r="Q129" s="38"/>
    </row>
    <row r="130" spans="11:17" x14ac:dyDescent="0.25">
      <c r="K130" s="38" t="s">
        <v>44</v>
      </c>
      <c r="L130" s="38"/>
      <c r="M130" s="38"/>
      <c r="N130" s="38"/>
      <c r="O130" s="38"/>
      <c r="P130" s="38"/>
      <c r="Q130" s="38"/>
    </row>
    <row r="131" spans="11:17" x14ac:dyDescent="0.25">
      <c r="K131" s="39">
        <v>200</v>
      </c>
      <c r="L131" s="38"/>
      <c r="M131" s="38"/>
      <c r="N131" s="38"/>
      <c r="O131" s="38"/>
      <c r="P131" s="38"/>
      <c r="Q131" s="38"/>
    </row>
    <row r="132" spans="11:17" x14ac:dyDescent="0.25">
      <c r="K132" s="39">
        <v>24935.25</v>
      </c>
      <c r="L132" s="38"/>
      <c r="M132" s="38"/>
      <c r="N132" s="38"/>
      <c r="O132" s="38"/>
      <c r="P132" s="38"/>
      <c r="Q132" s="38"/>
    </row>
    <row r="133" spans="11:17" x14ac:dyDescent="0.25">
      <c r="K133" s="40">
        <v>45233</v>
      </c>
      <c r="L133" s="38"/>
      <c r="M133" s="38"/>
      <c r="N133" s="38"/>
      <c r="O133" s="38"/>
      <c r="P133" s="38"/>
      <c r="Q133" s="38"/>
    </row>
    <row r="134" spans="11:17" x14ac:dyDescent="0.25">
      <c r="K134" s="38" t="s">
        <v>39</v>
      </c>
      <c r="L134" s="38"/>
      <c r="M134" s="38"/>
      <c r="N134" s="38"/>
      <c r="O134" s="38"/>
      <c r="P134" s="38"/>
      <c r="Q134" s="38"/>
    </row>
    <row r="135" spans="11:17" x14ac:dyDescent="0.25">
      <c r="K135" s="38" t="s">
        <v>43</v>
      </c>
      <c r="L135" s="38"/>
      <c r="M135" s="38"/>
      <c r="N135" s="38"/>
      <c r="O135" s="38"/>
      <c r="P135" s="38"/>
      <c r="Q135" s="38"/>
    </row>
    <row r="136" spans="11:17" x14ac:dyDescent="0.25">
      <c r="K136" s="41" t="s">
        <v>42</v>
      </c>
      <c r="L136" s="38"/>
      <c r="M136" s="38"/>
      <c r="N136" s="38"/>
      <c r="O136" s="38"/>
      <c r="P136" s="38"/>
      <c r="Q136" s="38"/>
    </row>
    <row r="137" spans="11:17" x14ac:dyDescent="0.25">
      <c r="K137" s="39">
        <v>200</v>
      </c>
      <c r="L137" s="38"/>
      <c r="M137" s="38"/>
      <c r="N137" s="38"/>
      <c r="O137" s="38"/>
      <c r="P137" s="38"/>
      <c r="Q137" s="38"/>
    </row>
    <row r="138" spans="11:17" x14ac:dyDescent="0.25">
      <c r="K138" s="39">
        <v>25135.25</v>
      </c>
      <c r="L138" s="38"/>
      <c r="M138" s="38"/>
      <c r="N138" s="38"/>
      <c r="O138" s="38"/>
      <c r="P138" s="38"/>
      <c r="Q138" s="38"/>
    </row>
    <row r="139" spans="11:17" x14ac:dyDescent="0.25">
      <c r="K139" s="40">
        <v>45233</v>
      </c>
      <c r="L139" s="38"/>
      <c r="M139" s="38"/>
      <c r="N139" s="38"/>
      <c r="O139" s="38"/>
      <c r="P139" s="38"/>
      <c r="Q139" s="38"/>
    </row>
    <row r="140" spans="11:17" x14ac:dyDescent="0.25">
      <c r="K140" s="38" t="s">
        <v>39</v>
      </c>
      <c r="L140" s="38"/>
      <c r="M140" s="38"/>
      <c r="N140" s="38"/>
      <c r="O140" s="38"/>
      <c r="P140" s="38"/>
      <c r="Q140" s="38"/>
    </row>
    <row r="141" spans="11:17" x14ac:dyDescent="0.25">
      <c r="K141" s="38" t="s">
        <v>41</v>
      </c>
      <c r="L141" s="38"/>
      <c r="M141" s="38"/>
      <c r="N141" s="38"/>
      <c r="O141" s="38"/>
      <c r="P141" s="38"/>
      <c r="Q141" s="38"/>
    </row>
    <row r="142" spans="11:17" x14ac:dyDescent="0.25">
      <c r="K142" s="38" t="s">
        <v>40</v>
      </c>
      <c r="L142" s="38"/>
      <c r="M142" s="38"/>
      <c r="N142" s="38"/>
      <c r="O142" s="38"/>
      <c r="P142" s="38"/>
      <c r="Q142" s="38"/>
    </row>
    <row r="143" spans="11:17" x14ac:dyDescent="0.25">
      <c r="K143" s="39">
        <v>100</v>
      </c>
      <c r="L143" s="38"/>
      <c r="M143" s="38"/>
      <c r="N143" s="38"/>
      <c r="O143" s="38"/>
      <c r="P143" s="38"/>
      <c r="Q143" s="38"/>
    </row>
    <row r="144" spans="11:17" x14ac:dyDescent="0.25">
      <c r="K144" s="39">
        <v>25335.25</v>
      </c>
      <c r="L144" s="38"/>
      <c r="M144" s="38"/>
      <c r="N144" s="38"/>
      <c r="O144" s="38"/>
      <c r="P144" s="38"/>
      <c r="Q144" s="38"/>
    </row>
    <row r="145" spans="11:17" x14ac:dyDescent="0.25">
      <c r="K145" s="40">
        <v>45231</v>
      </c>
      <c r="L145" s="38"/>
      <c r="M145" s="38"/>
      <c r="N145" s="38"/>
      <c r="O145" s="38"/>
      <c r="P145" s="38"/>
      <c r="Q145" s="38"/>
    </row>
    <row r="146" spans="11:17" x14ac:dyDescent="0.25">
      <c r="K146" s="38" t="s">
        <v>39</v>
      </c>
      <c r="L146" s="38"/>
      <c r="M146" s="38"/>
      <c r="N146" s="38"/>
      <c r="O146" s="38"/>
      <c r="P146" s="38"/>
      <c r="Q146" s="38"/>
    </row>
    <row r="147" spans="11:17" x14ac:dyDescent="0.25">
      <c r="K147" s="38" t="s">
        <v>38</v>
      </c>
      <c r="L147" s="38"/>
      <c r="M147" s="38"/>
      <c r="N147" s="38"/>
      <c r="O147" s="38"/>
      <c r="P147" s="38"/>
      <c r="Q147" s="38"/>
    </row>
    <row r="148" spans="11:17" x14ac:dyDescent="0.25">
      <c r="K148" s="38" t="s">
        <v>37</v>
      </c>
      <c r="L148" s="38"/>
      <c r="M148" s="38"/>
      <c r="N148" s="38"/>
      <c r="O148" s="38"/>
      <c r="P148" s="38"/>
      <c r="Q148" s="38"/>
    </row>
    <row r="149" spans="11:17" x14ac:dyDescent="0.25">
      <c r="K149" s="39">
        <v>20</v>
      </c>
      <c r="L149" s="38"/>
      <c r="M149" s="38"/>
      <c r="N149" s="38"/>
      <c r="O149" s="38"/>
      <c r="P149" s="38"/>
      <c r="Q149" s="38"/>
    </row>
    <row r="150" spans="11:17" x14ac:dyDescent="0.25">
      <c r="K150" s="39">
        <v>25435.25</v>
      </c>
      <c r="L150" s="38"/>
      <c r="M150" s="38"/>
      <c r="N150" s="38"/>
      <c r="O150" s="38"/>
      <c r="P150" s="38"/>
      <c r="Q150" s="38"/>
    </row>
  </sheetData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05D00-395D-46E6-81D6-A340E101CC6C}">
  <sheetPr codeName="Sheet9">
    <tabColor rgb="FFC0BFBF"/>
  </sheetPr>
  <dimension ref="K10:S152"/>
  <sheetViews>
    <sheetView topLeftCell="K11" workbookViewId="0">
      <pane xSplit="1" ySplit="3" topLeftCell="L14" activePane="bottomRight" state="frozen"/>
      <selection activeCell="K11" sqref="K11"/>
      <selection pane="topRight" activeCell="L11" sqref="L11"/>
      <selection pane="bottomLeft" activeCell="K14" sqref="K14"/>
      <selection pane="bottomRight" activeCell="P26" sqref="P26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81640625" bestFit="1" customWidth="1"/>
    <col min="15" max="15" width="18.81640625" bestFit="1" customWidth="1"/>
    <col min="16" max="16" width="29.26953125" bestFit="1" customWidth="1"/>
    <col min="17" max="17" width="12.26953125" bestFit="1" customWidth="1"/>
    <col min="18" max="18" width="9.6328125" bestFit="1" customWidth="1"/>
    <col min="19" max="19" width="1.6328125" customWidth="1"/>
    <col min="22" max="22" width="9.7265625" bestFit="1" customWidth="1"/>
    <col min="23" max="23" width="10.81640625" bestFit="1" customWidth="1"/>
    <col min="24" max="24" width="18.81640625" bestFit="1" customWidth="1"/>
    <col min="25" max="25" width="28.08984375" bestFit="1" customWidth="1"/>
    <col min="26" max="26" width="8.81640625" bestFit="1" customWidth="1"/>
    <col min="27" max="27" width="9.26953125" bestFit="1" customWidth="1"/>
  </cols>
  <sheetData>
    <row r="10" spans="11:19" ht="10.75" thickBot="1" x14ac:dyDescent="0.3"/>
    <row r="11" spans="11:19" ht="15.45" x14ac:dyDescent="0.25">
      <c r="K11" s="45" t="s">
        <v>95</v>
      </c>
      <c r="L11" s="46"/>
      <c r="M11" s="46"/>
      <c r="N11" s="46"/>
      <c r="O11" s="46"/>
      <c r="P11" s="46"/>
      <c r="Q11" s="46"/>
      <c r="R11" s="46"/>
      <c r="S11" s="48"/>
    </row>
    <row r="12" spans="11:19" ht="15.45" x14ac:dyDescent="0.25">
      <c r="K12" s="49" t="s">
        <v>98</v>
      </c>
      <c r="L12" s="50"/>
      <c r="M12" s="50"/>
      <c r="N12" s="50"/>
      <c r="O12" s="50"/>
      <c r="P12" s="50"/>
      <c r="Q12" s="50"/>
      <c r="R12" s="50"/>
      <c r="S12" s="52"/>
    </row>
    <row r="13" spans="11:19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2"/>
    </row>
    <row r="14" spans="11:19" ht="10.75" thickBot="1" x14ac:dyDescent="0.3">
      <c r="K14" s="76" t="s">
        <v>86</v>
      </c>
      <c r="L14" s="56"/>
      <c r="M14" s="44" t="s">
        <v>85</v>
      </c>
      <c r="N14" s="44" t="s">
        <v>84</v>
      </c>
      <c r="O14" s="44" t="s">
        <v>83</v>
      </c>
      <c r="P14" s="44" t="s">
        <v>82</v>
      </c>
      <c r="Q14" s="44" t="s">
        <v>81</v>
      </c>
      <c r="R14" s="44" t="s">
        <v>80</v>
      </c>
      <c r="S14" s="80" t="s">
        <v>89</v>
      </c>
    </row>
    <row r="15" spans="11:19" x14ac:dyDescent="0.25">
      <c r="K15" s="40">
        <v>45289</v>
      </c>
      <c r="L15" s="38"/>
      <c r="M15" s="77">
        <v>45289</v>
      </c>
      <c r="N15" s="43" t="s">
        <v>69</v>
      </c>
      <c r="O15" s="38" t="s">
        <v>68</v>
      </c>
      <c r="P15" s="82"/>
      <c r="Q15" s="83">
        <v>8.5</v>
      </c>
      <c r="R15" s="78">
        <v>9769.2999999999993</v>
      </c>
      <c r="S15" s="78"/>
    </row>
    <row r="16" spans="11:19" x14ac:dyDescent="0.25">
      <c r="K16" s="38" t="s">
        <v>69</v>
      </c>
      <c r="L16" s="38"/>
      <c r="M16" s="77">
        <v>45280</v>
      </c>
      <c r="N16" s="38" t="s">
        <v>39</v>
      </c>
      <c r="O16" s="38" t="s">
        <v>79</v>
      </c>
      <c r="P16" s="85" t="s">
        <v>78</v>
      </c>
      <c r="Q16" s="83">
        <v>400</v>
      </c>
      <c r="R16" s="78">
        <v>9777.7999999999993</v>
      </c>
      <c r="S16" s="78"/>
    </row>
    <row r="17" spans="11:19" x14ac:dyDescent="0.25">
      <c r="K17" s="38" t="s">
        <v>68</v>
      </c>
      <c r="L17" s="38"/>
      <c r="M17" s="77">
        <v>45278</v>
      </c>
      <c r="N17" s="38" t="s">
        <v>39</v>
      </c>
      <c r="O17" s="38" t="s">
        <v>77</v>
      </c>
      <c r="P17" s="85" t="s">
        <v>76</v>
      </c>
      <c r="Q17" s="83">
        <v>1931.05</v>
      </c>
      <c r="R17" s="78">
        <v>10177.799999999999</v>
      </c>
      <c r="S17" s="78"/>
    </row>
    <row r="18" spans="11:19" x14ac:dyDescent="0.25">
      <c r="K18" s="39">
        <v>8.5</v>
      </c>
      <c r="L18" s="38"/>
      <c r="M18" s="77">
        <v>45272</v>
      </c>
      <c r="N18" s="38" t="s">
        <v>39</v>
      </c>
      <c r="O18" s="38" t="s">
        <v>75</v>
      </c>
      <c r="P18" s="85" t="s">
        <v>74</v>
      </c>
      <c r="Q18" s="83">
        <v>253.24</v>
      </c>
      <c r="R18" s="78">
        <v>12108.85</v>
      </c>
      <c r="S18" s="78"/>
    </row>
    <row r="19" spans="11:19" x14ac:dyDescent="0.25">
      <c r="K19" s="39">
        <v>9769.2999999999993</v>
      </c>
      <c r="L19" s="38"/>
      <c r="M19" s="77">
        <v>45268</v>
      </c>
      <c r="N19" s="38" t="s">
        <v>62</v>
      </c>
      <c r="O19" s="38" t="s">
        <v>61</v>
      </c>
      <c r="P19" s="85" t="s">
        <v>73</v>
      </c>
      <c r="Q19" s="83">
        <v>-191.34</v>
      </c>
      <c r="R19" s="78">
        <v>12362.09</v>
      </c>
      <c r="S19" s="78"/>
    </row>
    <row r="20" spans="11:19" x14ac:dyDescent="0.25">
      <c r="K20" s="40">
        <v>45280</v>
      </c>
      <c r="L20" s="38"/>
      <c r="M20" s="77">
        <v>45267</v>
      </c>
      <c r="N20" s="38" t="s">
        <v>39</v>
      </c>
      <c r="O20" s="38" t="s">
        <v>72</v>
      </c>
      <c r="P20" s="85" t="s">
        <v>71</v>
      </c>
      <c r="Q20" s="83">
        <v>250</v>
      </c>
      <c r="R20" s="78">
        <v>12170.75</v>
      </c>
      <c r="S20" s="78"/>
    </row>
    <row r="21" spans="11:19" x14ac:dyDescent="0.25">
      <c r="K21" s="38" t="s">
        <v>39</v>
      </c>
      <c r="L21" s="38"/>
      <c r="M21" s="77">
        <v>45261</v>
      </c>
      <c r="N21" s="38" t="s">
        <v>62</v>
      </c>
      <c r="O21" s="38" t="s">
        <v>61</v>
      </c>
      <c r="P21" s="85" t="s">
        <v>70</v>
      </c>
      <c r="Q21" s="83">
        <v>-28.59</v>
      </c>
      <c r="R21" s="78">
        <v>12420.75</v>
      </c>
      <c r="S21" s="78"/>
    </row>
    <row r="22" spans="11:19" x14ac:dyDescent="0.25">
      <c r="K22" s="38" t="s">
        <v>79</v>
      </c>
      <c r="L22" s="38"/>
      <c r="M22" s="77">
        <v>45260</v>
      </c>
      <c r="N22" s="38" t="s">
        <v>69</v>
      </c>
      <c r="O22" s="38" t="s">
        <v>68</v>
      </c>
      <c r="P22" s="85"/>
      <c r="Q22" s="83">
        <v>8.5</v>
      </c>
      <c r="R22" s="78">
        <v>12392.16</v>
      </c>
      <c r="S22" s="78"/>
    </row>
    <row r="23" spans="11:19" x14ac:dyDescent="0.25">
      <c r="K23" s="38" t="s">
        <v>78</v>
      </c>
      <c r="L23" s="38"/>
      <c r="M23" s="77">
        <v>45258</v>
      </c>
      <c r="N23" s="38" t="s">
        <v>62</v>
      </c>
      <c r="O23" s="38" t="s">
        <v>61</v>
      </c>
      <c r="P23" s="82" t="s">
        <v>67</v>
      </c>
      <c r="Q23" s="83">
        <v>-191.2</v>
      </c>
      <c r="R23" s="78">
        <v>12400.66</v>
      </c>
      <c r="S23" s="78"/>
    </row>
    <row r="24" spans="11:19" x14ac:dyDescent="0.25">
      <c r="K24" s="39">
        <v>400</v>
      </c>
      <c r="L24" s="38"/>
      <c r="M24" s="77">
        <v>45257</v>
      </c>
      <c r="N24" s="38" t="s">
        <v>66</v>
      </c>
      <c r="O24" s="38" t="s">
        <v>65</v>
      </c>
      <c r="P24" s="82" t="s">
        <v>64</v>
      </c>
      <c r="Q24" s="83">
        <v>8695.0499999999993</v>
      </c>
      <c r="R24" s="78">
        <v>12209.46</v>
      </c>
      <c r="S24" s="78"/>
    </row>
    <row r="25" spans="11:19" x14ac:dyDescent="0.25">
      <c r="K25" s="39">
        <v>9777.7999999999993</v>
      </c>
      <c r="L25" s="38"/>
      <c r="M25" s="77">
        <v>45252</v>
      </c>
      <c r="N25" s="38" t="s">
        <v>62</v>
      </c>
      <c r="O25" s="38" t="s">
        <v>61</v>
      </c>
      <c r="P25" s="82" t="s">
        <v>63</v>
      </c>
      <c r="Q25" s="83">
        <v>-192.54</v>
      </c>
      <c r="R25" s="78">
        <v>20904.509999999998</v>
      </c>
      <c r="S25" s="78"/>
    </row>
    <row r="26" spans="11:19" x14ac:dyDescent="0.25">
      <c r="K26" s="40">
        <v>45278</v>
      </c>
      <c r="L26" s="38"/>
      <c r="M26" s="77">
        <v>45247</v>
      </c>
      <c r="N26" s="38" t="s">
        <v>62</v>
      </c>
      <c r="O26" s="38" t="s">
        <v>61</v>
      </c>
      <c r="P26" s="82" t="s">
        <v>60</v>
      </c>
      <c r="Q26" s="83">
        <v>-614.09</v>
      </c>
      <c r="R26" s="78">
        <v>20711.97</v>
      </c>
      <c r="S26" s="78"/>
    </row>
    <row r="27" spans="11:19" x14ac:dyDescent="0.25">
      <c r="K27" s="38" t="s">
        <v>39</v>
      </c>
      <c r="L27" s="38"/>
      <c r="M27" s="77">
        <v>45244</v>
      </c>
      <c r="N27" s="38" t="s">
        <v>39</v>
      </c>
      <c r="O27" s="38" t="s">
        <v>59</v>
      </c>
      <c r="P27" s="82" t="s">
        <v>58</v>
      </c>
      <c r="Q27" s="83">
        <v>230</v>
      </c>
      <c r="R27" s="78">
        <v>20097.88</v>
      </c>
      <c r="S27" s="78"/>
    </row>
    <row r="28" spans="11:19" x14ac:dyDescent="0.25">
      <c r="K28" s="38" t="s">
        <v>77</v>
      </c>
      <c r="L28" s="38"/>
      <c r="M28" s="77">
        <v>45244</v>
      </c>
      <c r="N28" s="38" t="s">
        <v>39</v>
      </c>
      <c r="O28" s="38" t="s">
        <v>57</v>
      </c>
      <c r="P28" s="82" t="s">
        <v>56</v>
      </c>
      <c r="Q28" s="83">
        <v>200</v>
      </c>
      <c r="R28" s="78">
        <v>20327.88</v>
      </c>
      <c r="S28" s="78"/>
    </row>
    <row r="29" spans="11:19" x14ac:dyDescent="0.25">
      <c r="K29" s="38" t="s">
        <v>76</v>
      </c>
      <c r="L29" s="38"/>
      <c r="M29" s="77">
        <v>45243</v>
      </c>
      <c r="N29" s="38" t="s">
        <v>39</v>
      </c>
      <c r="O29" s="38" t="s">
        <v>55</v>
      </c>
      <c r="P29" s="82" t="s">
        <v>54</v>
      </c>
      <c r="Q29" s="83">
        <v>4887.37</v>
      </c>
      <c r="R29" s="78">
        <v>20527.88</v>
      </c>
      <c r="S29" s="78"/>
    </row>
    <row r="30" spans="11:19" x14ac:dyDescent="0.25">
      <c r="K30" s="39">
        <v>1931.05</v>
      </c>
      <c r="L30" s="38"/>
      <c r="M30" s="77">
        <v>45243</v>
      </c>
      <c r="N30" s="38" t="s">
        <v>39</v>
      </c>
      <c r="O30" s="38" t="s">
        <v>53</v>
      </c>
      <c r="P30" s="82" t="s">
        <v>52</v>
      </c>
      <c r="Q30" s="83">
        <v>-1120</v>
      </c>
      <c r="R30" s="78">
        <v>25415.25</v>
      </c>
      <c r="S30" s="78"/>
    </row>
    <row r="31" spans="11:19" x14ac:dyDescent="0.25">
      <c r="K31" s="39">
        <v>10177.799999999999</v>
      </c>
      <c r="L31" s="38"/>
      <c r="M31" s="77">
        <v>45238</v>
      </c>
      <c r="N31" s="38" t="s">
        <v>39</v>
      </c>
      <c r="O31" s="38" t="s">
        <v>51</v>
      </c>
      <c r="P31" s="82" t="s">
        <v>50</v>
      </c>
      <c r="Q31" s="83">
        <v>240</v>
      </c>
      <c r="R31" s="78">
        <v>24295.25</v>
      </c>
      <c r="S31" s="78"/>
    </row>
    <row r="32" spans="11:19" x14ac:dyDescent="0.25">
      <c r="K32" s="40">
        <v>45272</v>
      </c>
      <c r="L32" s="38"/>
      <c r="M32" s="77">
        <v>45236</v>
      </c>
      <c r="N32" s="38" t="s">
        <v>39</v>
      </c>
      <c r="O32" s="38" t="s">
        <v>49</v>
      </c>
      <c r="P32" s="82" t="s">
        <v>48</v>
      </c>
      <c r="Q32" s="83">
        <v>200</v>
      </c>
      <c r="R32" s="78">
        <v>24535.25</v>
      </c>
      <c r="S32" s="78"/>
    </row>
    <row r="33" spans="11:19" x14ac:dyDescent="0.25">
      <c r="K33" s="38" t="s">
        <v>39</v>
      </c>
      <c r="L33" s="38"/>
      <c r="M33" s="77">
        <v>45236</v>
      </c>
      <c r="N33" s="38" t="s">
        <v>39</v>
      </c>
      <c r="O33" s="38" t="s">
        <v>47</v>
      </c>
      <c r="P33" s="82" t="s">
        <v>46</v>
      </c>
      <c r="Q33" s="83">
        <v>200</v>
      </c>
      <c r="R33" s="78">
        <v>24735.25</v>
      </c>
      <c r="S33" s="78"/>
    </row>
    <row r="34" spans="11:19" x14ac:dyDescent="0.25">
      <c r="K34" s="38" t="s">
        <v>75</v>
      </c>
      <c r="L34" s="38"/>
      <c r="M34" s="77">
        <v>45236</v>
      </c>
      <c r="N34" s="38" t="s">
        <v>39</v>
      </c>
      <c r="O34" s="38" t="s">
        <v>45</v>
      </c>
      <c r="P34" s="82" t="s">
        <v>44</v>
      </c>
      <c r="Q34" s="83">
        <v>200</v>
      </c>
      <c r="R34" s="78">
        <v>24935.25</v>
      </c>
      <c r="S34" s="78"/>
    </row>
    <row r="35" spans="11:19" x14ac:dyDescent="0.25">
      <c r="K35" s="38" t="s">
        <v>74</v>
      </c>
      <c r="L35" s="38"/>
      <c r="M35" s="77">
        <v>45233</v>
      </c>
      <c r="N35" s="38" t="s">
        <v>39</v>
      </c>
      <c r="O35" s="38" t="s">
        <v>43</v>
      </c>
      <c r="P35" s="82" t="s">
        <v>42</v>
      </c>
      <c r="Q35" s="83">
        <v>200</v>
      </c>
      <c r="R35" s="78">
        <v>25135.25</v>
      </c>
      <c r="S35" s="78"/>
    </row>
    <row r="36" spans="11:19" x14ac:dyDescent="0.25">
      <c r="K36" s="39">
        <v>253.24</v>
      </c>
      <c r="L36" s="38"/>
      <c r="M36" s="77">
        <v>45233</v>
      </c>
      <c r="N36" s="38" t="s">
        <v>39</v>
      </c>
      <c r="O36" s="38" t="s">
        <v>41</v>
      </c>
      <c r="P36" s="82" t="s">
        <v>40</v>
      </c>
      <c r="Q36" s="83">
        <v>100</v>
      </c>
      <c r="R36" s="78">
        <v>25335.25</v>
      </c>
      <c r="S36" s="78"/>
    </row>
    <row r="37" spans="11:19" x14ac:dyDescent="0.25">
      <c r="K37" s="39">
        <v>12108.85</v>
      </c>
      <c r="L37" s="38"/>
      <c r="M37" s="77">
        <v>45231</v>
      </c>
      <c r="N37" s="38" t="s">
        <v>39</v>
      </c>
      <c r="O37" s="38" t="s">
        <v>38</v>
      </c>
      <c r="P37" s="82" t="s">
        <v>37</v>
      </c>
      <c r="Q37" s="83">
        <v>20</v>
      </c>
      <c r="R37" s="78">
        <v>25435.25</v>
      </c>
      <c r="S37" s="78"/>
    </row>
    <row r="38" spans="11:19" x14ac:dyDescent="0.25">
      <c r="K38" s="40">
        <v>45268</v>
      </c>
      <c r="L38" s="38"/>
    </row>
    <row r="39" spans="11:19" x14ac:dyDescent="0.25">
      <c r="K39" s="38" t="s">
        <v>62</v>
      </c>
      <c r="L39" s="38"/>
    </row>
    <row r="40" spans="11:19" x14ac:dyDescent="0.25">
      <c r="K40" s="38" t="s">
        <v>61</v>
      </c>
      <c r="L40" s="38"/>
    </row>
    <row r="41" spans="11:19" x14ac:dyDescent="0.25">
      <c r="K41" s="38" t="s">
        <v>73</v>
      </c>
      <c r="L41" s="38"/>
    </row>
    <row r="42" spans="11:19" x14ac:dyDescent="0.25">
      <c r="K42" s="39">
        <v>-191.34</v>
      </c>
      <c r="L42" s="38"/>
    </row>
    <row r="43" spans="11:19" x14ac:dyDescent="0.25">
      <c r="K43" s="39">
        <v>12362.09</v>
      </c>
      <c r="L43" s="38"/>
    </row>
    <row r="44" spans="11:19" x14ac:dyDescent="0.25">
      <c r="K44" s="40">
        <v>45267</v>
      </c>
      <c r="L44" s="38"/>
    </row>
    <row r="45" spans="11:19" x14ac:dyDescent="0.25">
      <c r="K45" s="38" t="s">
        <v>39</v>
      </c>
      <c r="L45" s="38"/>
    </row>
    <row r="46" spans="11:19" x14ac:dyDescent="0.25">
      <c r="K46" s="38" t="s">
        <v>72</v>
      </c>
      <c r="L46" s="38"/>
    </row>
    <row r="47" spans="11:19" x14ac:dyDescent="0.25">
      <c r="K47" s="38" t="s">
        <v>71</v>
      </c>
      <c r="L47" s="38"/>
    </row>
    <row r="48" spans="11:19" x14ac:dyDescent="0.25">
      <c r="K48" s="39">
        <v>250</v>
      </c>
      <c r="L48" s="38"/>
    </row>
    <row r="49" spans="11:12" x14ac:dyDescent="0.25">
      <c r="K49" s="39">
        <v>12170.75</v>
      </c>
      <c r="L49" s="38"/>
    </row>
    <row r="50" spans="11:12" x14ac:dyDescent="0.25">
      <c r="K50" s="40">
        <v>45261</v>
      </c>
      <c r="L50" s="38"/>
    </row>
    <row r="51" spans="11:12" x14ac:dyDescent="0.25">
      <c r="K51" s="38" t="s">
        <v>62</v>
      </c>
      <c r="L51" s="38"/>
    </row>
    <row r="52" spans="11:12" x14ac:dyDescent="0.25">
      <c r="K52" s="38" t="s">
        <v>61</v>
      </c>
      <c r="L52" s="38"/>
    </row>
    <row r="53" spans="11:12" x14ac:dyDescent="0.25">
      <c r="K53" s="38" t="s">
        <v>70</v>
      </c>
      <c r="L53" s="38"/>
    </row>
    <row r="54" spans="11:12" x14ac:dyDescent="0.25">
      <c r="K54" s="39">
        <v>-28.59</v>
      </c>
      <c r="L54" s="38"/>
    </row>
    <row r="55" spans="11:12" x14ac:dyDescent="0.25">
      <c r="K55" s="39">
        <v>12420.75</v>
      </c>
      <c r="L55" s="38"/>
    </row>
    <row r="56" spans="11:12" x14ac:dyDescent="0.25">
      <c r="K56" s="40">
        <v>45260</v>
      </c>
      <c r="L56" s="38"/>
    </row>
    <row r="57" spans="11:12" x14ac:dyDescent="0.25">
      <c r="K57" s="38" t="s">
        <v>69</v>
      </c>
      <c r="L57" s="38"/>
    </row>
    <row r="58" spans="11:12" x14ac:dyDescent="0.25">
      <c r="K58" s="38" t="s">
        <v>68</v>
      </c>
      <c r="L58" s="38"/>
    </row>
    <row r="59" spans="11:12" x14ac:dyDescent="0.25">
      <c r="K59" s="39">
        <v>8.5</v>
      </c>
      <c r="L59" s="38"/>
    </row>
    <row r="60" spans="11:12" x14ac:dyDescent="0.25">
      <c r="K60" s="39">
        <v>12392.16</v>
      </c>
      <c r="L60" s="38"/>
    </row>
    <row r="61" spans="11:12" x14ac:dyDescent="0.25">
      <c r="K61" s="40">
        <v>45258</v>
      </c>
      <c r="L61" s="38"/>
    </row>
    <row r="62" spans="11:12" x14ac:dyDescent="0.25">
      <c r="K62" s="38" t="s">
        <v>62</v>
      </c>
      <c r="L62" s="38"/>
    </row>
    <row r="63" spans="11:12" x14ac:dyDescent="0.25">
      <c r="K63" s="38" t="s">
        <v>61</v>
      </c>
      <c r="L63" s="38"/>
    </row>
    <row r="64" spans="11:12" x14ac:dyDescent="0.25">
      <c r="K64" s="38" t="s">
        <v>67</v>
      </c>
      <c r="L64" s="38"/>
    </row>
    <row r="65" spans="11:12" x14ac:dyDescent="0.25">
      <c r="K65" s="39">
        <v>-191.2</v>
      </c>
      <c r="L65" s="38"/>
    </row>
    <row r="66" spans="11:12" x14ac:dyDescent="0.25">
      <c r="K66" s="39">
        <v>12400.66</v>
      </c>
      <c r="L66" s="38"/>
    </row>
    <row r="67" spans="11:12" x14ac:dyDescent="0.25">
      <c r="K67" s="40">
        <v>45257</v>
      </c>
      <c r="L67" s="38"/>
    </row>
    <row r="68" spans="11:12" x14ac:dyDescent="0.25">
      <c r="K68" s="38" t="s">
        <v>66</v>
      </c>
      <c r="L68" s="38"/>
    </row>
    <row r="69" spans="11:12" x14ac:dyDescent="0.25">
      <c r="K69" s="38" t="s">
        <v>65</v>
      </c>
      <c r="L69" s="38"/>
    </row>
    <row r="70" spans="11:12" x14ac:dyDescent="0.25">
      <c r="K70" s="38" t="s">
        <v>64</v>
      </c>
      <c r="L70" s="38"/>
    </row>
    <row r="71" spans="11:12" x14ac:dyDescent="0.25">
      <c r="K71" s="39">
        <v>8695.0499999999993</v>
      </c>
      <c r="L71" s="38"/>
    </row>
    <row r="72" spans="11:12" x14ac:dyDescent="0.25">
      <c r="K72" s="39">
        <v>12209.46</v>
      </c>
      <c r="L72" s="38"/>
    </row>
    <row r="73" spans="11:12" x14ac:dyDescent="0.25">
      <c r="K73" s="40">
        <v>45252</v>
      </c>
      <c r="L73" s="38"/>
    </row>
    <row r="74" spans="11:12" x14ac:dyDescent="0.25">
      <c r="K74" s="38" t="s">
        <v>62</v>
      </c>
      <c r="L74" s="38"/>
    </row>
    <row r="75" spans="11:12" x14ac:dyDescent="0.25">
      <c r="K75" s="38" t="s">
        <v>61</v>
      </c>
      <c r="L75" s="38"/>
    </row>
    <row r="76" spans="11:12" x14ac:dyDescent="0.25">
      <c r="K76" s="38" t="s">
        <v>63</v>
      </c>
      <c r="L76" s="38"/>
    </row>
    <row r="77" spans="11:12" x14ac:dyDescent="0.25">
      <c r="K77" s="39">
        <v>-192.54</v>
      </c>
      <c r="L77" s="38"/>
    </row>
    <row r="78" spans="11:12" x14ac:dyDescent="0.25">
      <c r="K78" s="39">
        <v>20904.509999999998</v>
      </c>
      <c r="L78" s="38"/>
    </row>
    <row r="79" spans="11:12" x14ac:dyDescent="0.25">
      <c r="K79" s="40">
        <v>45247</v>
      </c>
      <c r="L79" s="38"/>
    </row>
    <row r="80" spans="11:12" x14ac:dyDescent="0.25">
      <c r="K80" s="38" t="s">
        <v>62</v>
      </c>
      <c r="L80" s="38"/>
    </row>
    <row r="81" spans="11:12" x14ac:dyDescent="0.25">
      <c r="K81" s="38" t="s">
        <v>61</v>
      </c>
      <c r="L81" s="38"/>
    </row>
    <row r="82" spans="11:12" x14ac:dyDescent="0.25">
      <c r="K82" s="38" t="s">
        <v>60</v>
      </c>
      <c r="L82" s="38"/>
    </row>
    <row r="83" spans="11:12" x14ac:dyDescent="0.25">
      <c r="K83" s="39">
        <v>-614.09</v>
      </c>
      <c r="L83" s="38"/>
    </row>
    <row r="84" spans="11:12" x14ac:dyDescent="0.25">
      <c r="K84" s="39">
        <v>20711.97</v>
      </c>
      <c r="L84" s="38"/>
    </row>
    <row r="85" spans="11:12" x14ac:dyDescent="0.25">
      <c r="K85" s="40">
        <v>45244</v>
      </c>
      <c r="L85" s="38"/>
    </row>
    <row r="86" spans="11:12" x14ac:dyDescent="0.25">
      <c r="K86" s="38" t="s">
        <v>39</v>
      </c>
      <c r="L86" s="38"/>
    </row>
    <row r="87" spans="11:12" x14ac:dyDescent="0.25">
      <c r="K87" s="38" t="s">
        <v>59</v>
      </c>
      <c r="L87" s="38"/>
    </row>
    <row r="88" spans="11:12" x14ac:dyDescent="0.25">
      <c r="K88" s="38" t="s">
        <v>58</v>
      </c>
      <c r="L88" s="38"/>
    </row>
    <row r="89" spans="11:12" x14ac:dyDescent="0.25">
      <c r="K89" s="39">
        <v>230</v>
      </c>
      <c r="L89" s="38"/>
    </row>
    <row r="90" spans="11:12" x14ac:dyDescent="0.25">
      <c r="K90" s="39">
        <v>20097.88</v>
      </c>
      <c r="L90" s="38"/>
    </row>
    <row r="91" spans="11:12" x14ac:dyDescent="0.25">
      <c r="K91" s="40">
        <v>45244</v>
      </c>
      <c r="L91" s="38"/>
    </row>
    <row r="92" spans="11:12" x14ac:dyDescent="0.25">
      <c r="K92" s="38" t="s">
        <v>39</v>
      </c>
      <c r="L92" s="38"/>
    </row>
    <row r="93" spans="11:12" x14ac:dyDescent="0.25">
      <c r="K93" s="38" t="s">
        <v>57</v>
      </c>
      <c r="L93" s="38"/>
    </row>
    <row r="94" spans="11:12" x14ac:dyDescent="0.25">
      <c r="K94" s="38" t="s">
        <v>56</v>
      </c>
      <c r="L94" s="38"/>
    </row>
    <row r="95" spans="11:12" x14ac:dyDescent="0.25">
      <c r="K95" s="39">
        <v>200</v>
      </c>
      <c r="L95" s="38"/>
    </row>
    <row r="96" spans="11:12" x14ac:dyDescent="0.25">
      <c r="K96" s="39">
        <v>20327.88</v>
      </c>
      <c r="L96" s="38"/>
    </row>
    <row r="97" spans="11:12" x14ac:dyDescent="0.25">
      <c r="K97" s="40">
        <v>45243</v>
      </c>
      <c r="L97" s="38"/>
    </row>
    <row r="98" spans="11:12" x14ac:dyDescent="0.25">
      <c r="K98" s="38" t="s">
        <v>39</v>
      </c>
      <c r="L98" s="38"/>
    </row>
    <row r="99" spans="11:12" x14ac:dyDescent="0.25">
      <c r="K99" s="38" t="s">
        <v>55</v>
      </c>
      <c r="L99" s="38"/>
    </row>
    <row r="100" spans="11:12" x14ac:dyDescent="0.25">
      <c r="K100" s="38" t="s">
        <v>54</v>
      </c>
      <c r="L100" s="38"/>
    </row>
    <row r="101" spans="11:12" x14ac:dyDescent="0.25">
      <c r="K101" s="39">
        <v>4887.37</v>
      </c>
      <c r="L101" s="38"/>
    </row>
    <row r="102" spans="11:12" x14ac:dyDescent="0.25">
      <c r="K102" s="39">
        <v>20527.88</v>
      </c>
      <c r="L102" s="38"/>
    </row>
    <row r="103" spans="11:12" x14ac:dyDescent="0.25">
      <c r="K103" s="40">
        <v>45243</v>
      </c>
      <c r="L103" s="38"/>
    </row>
    <row r="104" spans="11:12" x14ac:dyDescent="0.25">
      <c r="K104" s="38" t="s">
        <v>39</v>
      </c>
      <c r="L104" s="38"/>
    </row>
    <row r="105" spans="11:12" x14ac:dyDescent="0.25">
      <c r="K105" s="38" t="s">
        <v>53</v>
      </c>
      <c r="L105" s="38"/>
    </row>
    <row r="106" spans="11:12" x14ac:dyDescent="0.25">
      <c r="K106" s="38" t="s">
        <v>52</v>
      </c>
      <c r="L106" s="38"/>
    </row>
    <row r="107" spans="11:12" x14ac:dyDescent="0.25">
      <c r="K107" s="39">
        <v>-1120</v>
      </c>
      <c r="L107" s="38"/>
    </row>
    <row r="108" spans="11:12" x14ac:dyDescent="0.25">
      <c r="K108" s="39">
        <v>25415.25</v>
      </c>
      <c r="L108" s="38"/>
    </row>
    <row r="109" spans="11:12" x14ac:dyDescent="0.25">
      <c r="K109" s="40">
        <v>45238</v>
      </c>
      <c r="L109" s="38"/>
    </row>
    <row r="110" spans="11:12" x14ac:dyDescent="0.25">
      <c r="K110" s="38" t="s">
        <v>39</v>
      </c>
      <c r="L110" s="38"/>
    </row>
    <row r="111" spans="11:12" x14ac:dyDescent="0.25">
      <c r="K111" s="38" t="s">
        <v>51</v>
      </c>
      <c r="L111" s="38"/>
    </row>
    <row r="112" spans="11:12" x14ac:dyDescent="0.25">
      <c r="K112" s="38" t="s">
        <v>50</v>
      </c>
      <c r="L112" s="38"/>
    </row>
    <row r="113" spans="11:12" x14ac:dyDescent="0.25">
      <c r="K113" s="39">
        <v>240</v>
      </c>
      <c r="L113" s="38"/>
    </row>
    <row r="114" spans="11:12" x14ac:dyDescent="0.25">
      <c r="K114" s="39">
        <v>24295.25</v>
      </c>
      <c r="L114" s="38"/>
    </row>
    <row r="115" spans="11:12" x14ac:dyDescent="0.25">
      <c r="K115" s="40">
        <v>45236</v>
      </c>
      <c r="L115" s="38"/>
    </row>
    <row r="116" spans="11:12" x14ac:dyDescent="0.25">
      <c r="K116" s="38" t="s">
        <v>39</v>
      </c>
      <c r="L116" s="38"/>
    </row>
    <row r="117" spans="11:12" x14ac:dyDescent="0.25">
      <c r="K117" s="38" t="s">
        <v>49</v>
      </c>
      <c r="L117" s="38"/>
    </row>
    <row r="118" spans="11:12" x14ac:dyDescent="0.25">
      <c r="K118" s="38" t="s">
        <v>48</v>
      </c>
      <c r="L118" s="38"/>
    </row>
    <row r="119" spans="11:12" x14ac:dyDescent="0.25">
      <c r="K119" s="39">
        <v>200</v>
      </c>
      <c r="L119" s="38"/>
    </row>
    <row r="120" spans="11:12" x14ac:dyDescent="0.25">
      <c r="K120" s="39">
        <v>24535.25</v>
      </c>
      <c r="L120" s="38"/>
    </row>
    <row r="121" spans="11:12" x14ac:dyDescent="0.25">
      <c r="K121" s="40">
        <v>45236</v>
      </c>
      <c r="L121" s="38"/>
    </row>
    <row r="122" spans="11:12" x14ac:dyDescent="0.25">
      <c r="K122" s="38" t="s">
        <v>39</v>
      </c>
      <c r="L122" s="38"/>
    </row>
    <row r="123" spans="11:12" x14ac:dyDescent="0.25">
      <c r="K123" s="38" t="s">
        <v>47</v>
      </c>
      <c r="L123" s="38"/>
    </row>
    <row r="124" spans="11:12" x14ac:dyDescent="0.25">
      <c r="K124" s="38" t="s">
        <v>46</v>
      </c>
      <c r="L124" s="38"/>
    </row>
    <row r="125" spans="11:12" x14ac:dyDescent="0.25">
      <c r="K125" s="39">
        <v>200</v>
      </c>
      <c r="L125" s="38"/>
    </row>
    <row r="126" spans="11:12" x14ac:dyDescent="0.25">
      <c r="K126" s="39">
        <v>24735.25</v>
      </c>
      <c r="L126" s="38"/>
    </row>
    <row r="127" spans="11:12" x14ac:dyDescent="0.25">
      <c r="K127" s="40">
        <v>45236</v>
      </c>
      <c r="L127" s="38"/>
    </row>
    <row r="128" spans="11:12" x14ac:dyDescent="0.25">
      <c r="K128" s="38" t="s">
        <v>39</v>
      </c>
      <c r="L128" s="38"/>
    </row>
    <row r="129" spans="11:12" x14ac:dyDescent="0.25">
      <c r="K129" s="38" t="s">
        <v>45</v>
      </c>
      <c r="L129" s="38"/>
    </row>
    <row r="130" spans="11:12" x14ac:dyDescent="0.25">
      <c r="K130" s="38" t="s">
        <v>44</v>
      </c>
      <c r="L130" s="38"/>
    </row>
    <row r="131" spans="11:12" x14ac:dyDescent="0.25">
      <c r="K131" s="39">
        <v>200</v>
      </c>
      <c r="L131" s="38"/>
    </row>
    <row r="132" spans="11:12" x14ac:dyDescent="0.25">
      <c r="K132" s="39">
        <v>24935.25</v>
      </c>
      <c r="L132" s="38"/>
    </row>
    <row r="133" spans="11:12" x14ac:dyDescent="0.25">
      <c r="K133" s="40">
        <v>45233</v>
      </c>
      <c r="L133" s="38"/>
    </row>
    <row r="134" spans="11:12" x14ac:dyDescent="0.25">
      <c r="K134" s="38" t="s">
        <v>39</v>
      </c>
      <c r="L134" s="38"/>
    </row>
    <row r="135" spans="11:12" x14ac:dyDescent="0.25">
      <c r="K135" s="38" t="s">
        <v>43</v>
      </c>
      <c r="L135" s="38"/>
    </row>
    <row r="136" spans="11:12" x14ac:dyDescent="0.25">
      <c r="K136" s="41" t="s">
        <v>42</v>
      </c>
      <c r="L136" s="38"/>
    </row>
    <row r="137" spans="11:12" x14ac:dyDescent="0.25">
      <c r="K137" s="39">
        <v>200</v>
      </c>
      <c r="L137" s="38"/>
    </row>
    <row r="138" spans="11:12" x14ac:dyDescent="0.25">
      <c r="K138" s="39">
        <v>25135.25</v>
      </c>
      <c r="L138" s="38"/>
    </row>
    <row r="139" spans="11:12" x14ac:dyDescent="0.25">
      <c r="K139" s="40">
        <v>45233</v>
      </c>
      <c r="L139" s="38"/>
    </row>
    <row r="140" spans="11:12" x14ac:dyDescent="0.25">
      <c r="K140" s="38" t="s">
        <v>39</v>
      </c>
      <c r="L140" s="38"/>
    </row>
    <row r="141" spans="11:12" x14ac:dyDescent="0.25">
      <c r="K141" s="38" t="s">
        <v>41</v>
      </c>
      <c r="L141" s="38"/>
    </row>
    <row r="142" spans="11:12" x14ac:dyDescent="0.25">
      <c r="K142" s="38" t="s">
        <v>40</v>
      </c>
      <c r="L142" s="38"/>
    </row>
    <row r="143" spans="11:12" x14ac:dyDescent="0.25">
      <c r="K143" s="39">
        <v>100</v>
      </c>
      <c r="L143" s="38"/>
    </row>
    <row r="144" spans="11:12" x14ac:dyDescent="0.25">
      <c r="K144" s="39">
        <v>25335.25</v>
      </c>
      <c r="L144" s="38"/>
    </row>
    <row r="145" spans="11:12" x14ac:dyDescent="0.25">
      <c r="K145" s="40">
        <v>45231</v>
      </c>
      <c r="L145" s="38"/>
    </row>
    <row r="146" spans="11:12" x14ac:dyDescent="0.25">
      <c r="K146" s="38" t="s">
        <v>39</v>
      </c>
      <c r="L146" s="38"/>
    </row>
    <row r="147" spans="11:12" x14ac:dyDescent="0.25">
      <c r="K147" s="38" t="s">
        <v>38</v>
      </c>
      <c r="L147" s="38"/>
    </row>
    <row r="148" spans="11:12" x14ac:dyDescent="0.25">
      <c r="K148" s="38" t="s">
        <v>37</v>
      </c>
      <c r="L148" s="38"/>
    </row>
    <row r="149" spans="11:12" x14ac:dyDescent="0.25">
      <c r="K149" s="39">
        <v>20</v>
      </c>
      <c r="L149" s="38"/>
    </row>
    <row r="150" spans="11:12" x14ac:dyDescent="0.25">
      <c r="K150" s="39">
        <v>25435.25</v>
      </c>
      <c r="L150" s="38"/>
    </row>
    <row r="151" spans="11:12" x14ac:dyDescent="0.25">
      <c r="L151" s="38"/>
    </row>
    <row r="152" spans="11:12" x14ac:dyDescent="0.25">
      <c r="L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TransformVary">
                <anchor moveWithCells="1" sizeWithCells="1">
                  <from>
                    <xdr:col>12</xdr:col>
                    <xdr:colOff>108857</xdr:colOff>
                    <xdr:row>10</xdr:row>
                    <xdr:rowOff>43543</xdr:rowOff>
                  </from>
                  <to>
                    <xdr:col>13</xdr:col>
                    <xdr:colOff>272143</xdr:colOff>
                    <xdr:row>11</xdr:row>
                    <xdr:rowOff>185057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CA9B-4445-436C-84D5-074C935C0128}">
  <sheetPr codeName="Sheet8">
    <tabColor rgb="FFC0BFBF"/>
  </sheetPr>
  <dimension ref="H10:V152"/>
  <sheetViews>
    <sheetView tabSelected="1" topLeftCell="H10" workbookViewId="0">
      <selection activeCell="I15" sqref="I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5" width="10.54296875" customWidth="1"/>
    <col min="16" max="16" width="10.90625" bestFit="1" customWidth="1"/>
    <col min="17" max="17" width="28.08984375" bestFit="1" customWidth="1"/>
    <col min="18" max="18" width="23.1796875" bestFit="1" customWidth="1"/>
    <col min="19" max="19" width="28.08984375" bestFit="1" customWidth="1"/>
    <col min="20" max="20" width="9.90625" bestFit="1" customWidth="1"/>
    <col min="21" max="21" width="9.90625" customWidth="1"/>
    <col min="22" max="22" width="1.6328125" customWidth="1"/>
    <col min="25" max="25" width="9.7265625" bestFit="1" customWidth="1"/>
    <col min="26" max="26" width="10.81640625" bestFit="1" customWidth="1"/>
    <col min="27" max="27" width="18.81640625" bestFit="1" customWidth="1"/>
    <col min="28" max="28" width="28.08984375" bestFit="1" customWidth="1"/>
    <col min="29" max="29" width="8.81640625" bestFit="1" customWidth="1"/>
    <col min="30" max="30" width="9.26953125" bestFit="1" customWidth="1"/>
  </cols>
  <sheetData>
    <row r="10" spans="8:22" ht="10.75" thickBot="1" x14ac:dyDescent="0.3">
      <c r="P10">
        <v>1</v>
      </c>
      <c r="Q10">
        <v>2</v>
      </c>
      <c r="R10">
        <v>3</v>
      </c>
      <c r="S10">
        <v>4</v>
      </c>
      <c r="T10">
        <v>5</v>
      </c>
      <c r="U10">
        <v>6</v>
      </c>
    </row>
    <row r="11" spans="8:22" ht="15.45" x14ac:dyDescent="0.25">
      <c r="K11" s="45" t="s">
        <v>95</v>
      </c>
      <c r="L11" s="46"/>
      <c r="M11" s="47"/>
      <c r="N11" s="47"/>
      <c r="O11" s="47"/>
      <c r="P11" s="46"/>
      <c r="Q11" s="46"/>
      <c r="R11" s="46"/>
      <c r="S11" s="46"/>
      <c r="T11" s="46"/>
      <c r="U11" s="46"/>
      <c r="V11" s="48"/>
    </row>
    <row r="12" spans="8:22" ht="15.45" x14ac:dyDescent="0.3">
      <c r="K12" s="49" t="s">
        <v>97</v>
      </c>
      <c r="L12" s="50"/>
      <c r="M12" s="93" t="str" cm="1">
        <f t="array" aca="1" ref="M12" ca="1">IF(COUNT(dtbBankVXL[RowIndex])&lt;&gt;INDEX(dtbOutVXL[RowIndex],COUNT(dtbOutVXL[RowIndex])),"Adjust table length","")</f>
        <v/>
      </c>
      <c r="N12" s="51"/>
      <c r="O12" s="51"/>
      <c r="P12" s="50"/>
      <c r="Q12" s="50"/>
      <c r="R12" s="50"/>
      <c r="S12" s="50"/>
      <c r="T12" s="50"/>
      <c r="U12" s="50"/>
      <c r="V12" s="52"/>
    </row>
    <row r="13" spans="8:22" ht="12.45" x14ac:dyDescent="0.3">
      <c r="K13" s="53" t="s">
        <v>88</v>
      </c>
      <c r="L13" s="50"/>
      <c r="M13" s="55" t="s">
        <v>87</v>
      </c>
      <c r="N13" s="55"/>
      <c r="O13" s="55"/>
      <c r="P13" s="50"/>
      <c r="Q13" s="50"/>
      <c r="R13" s="50"/>
      <c r="S13" s="50"/>
      <c r="T13" s="50"/>
      <c r="U13" s="50"/>
      <c r="V13" s="52"/>
    </row>
    <row r="14" spans="8:22" ht="10.75" thickBot="1" x14ac:dyDescent="0.3">
      <c r="H14" s="86" t="s">
        <v>100</v>
      </c>
      <c r="I14" s="86" t="s">
        <v>99</v>
      </c>
      <c r="J14" s="86" t="s">
        <v>96</v>
      </c>
      <c r="K14" s="76" t="s">
        <v>86</v>
      </c>
      <c r="L14" s="56"/>
      <c r="M14" s="44" t="s">
        <v>96</v>
      </c>
      <c r="N14" s="44" t="s">
        <v>106</v>
      </c>
      <c r="O14" s="44" t="s">
        <v>105</v>
      </c>
      <c r="P14" s="44" t="s">
        <v>85</v>
      </c>
      <c r="Q14" s="44" t="s">
        <v>84</v>
      </c>
      <c r="R14" s="44" t="s">
        <v>83</v>
      </c>
      <c r="S14" s="44" t="s">
        <v>82</v>
      </c>
      <c r="T14" s="44" t="s">
        <v>81</v>
      </c>
      <c r="U14" s="44" t="s">
        <v>80</v>
      </c>
      <c r="V14" s="80" t="s">
        <v>89</v>
      </c>
    </row>
    <row r="15" spans="8:22" x14ac:dyDescent="0.25">
      <c r="H15" t="b">
        <f ca="1">IF(N(J15)&gt;0,SUM(J16:J20)-J15=5,"")</f>
        <v>1</v>
      </c>
      <c r="I15">
        <f ca="1">COUNT(J$14:J15)</f>
        <v>1</v>
      </c>
      <c r="J15" cm="1">
        <f t="array" aca="1" ref="J15" ca="1">IF(CELL("format",dtbBankVXL[[#This Row],[Bank]])="D1",ROW(dtbBankVXL[[#This Row],[Bank]])-ROW(dtbBankVXL[[#Headers],[Bank]]),"")</f>
        <v>1</v>
      </c>
      <c r="K15" s="40">
        <v>45289</v>
      </c>
      <c r="L15" s="38"/>
      <c r="M15" s="84">
        <f>ROW(dtbOutVXL[[#This Row],[TranDate]])-ROW(dtbOutVXL[[#Headers],[RowIndex]])</f>
        <v>1</v>
      </c>
      <c r="N15" s="84">
        <f ca="1">INDEX(dtbBankVXL[RowIndex],MATCH(dtbOutVXL[[#This Row],[RowIndex]],dtbBankVXL[Count],0))</f>
        <v>1</v>
      </c>
      <c r="O15" s="84" t="b">
        <f ca="1">INDEX(dtbBankVXL[FiveRower],MATCH(dtbOutVXL[[#This Row],[RowIndex]],dtbBankVXL[Count],0))</f>
        <v>1</v>
      </c>
      <c r="P15" s="79">
        <f ca="1">IFERROR(INDEX(dtbBankVXL[Bank],dtbOutVXL[[#This Row],[SourceIndex]]-1+P$10),"")</f>
        <v>45289</v>
      </c>
      <c r="Q15" s="79" t="str" cm="1">
        <f t="array" aca="1" ref="Q15" ca="1">IFERROR(INDEX(dtbBankVXL[Bank],$N15-1+Q$10),"")</f>
        <v>Bank Fee</v>
      </c>
      <c r="R15" s="79" t="str" cm="1">
        <f t="array" aca="1" ref="R15" ca="1">IFERROR(INDEX(dtbBankVXL[Bank],$N15-1+R$10),"")</f>
        <v>Monthly A/C Fee</v>
      </c>
      <c r="S15" s="79" t="str" cm="1">
        <f t="array" aca="1" ref="S15" ca="1">IF(ISNA(dtbOutVXL[[#This Row],[IsFiveRows]]),"",IF(dtbOutVXL[[#This Row],[IsFiveRows]],"",_xlfn.IFNA(INDEX(dtbBankVXL[Bank],$N15-1+S$10),"")))</f>
        <v/>
      </c>
      <c r="T15" s="78" cm="1">
        <f t="array" aca="1" ref="T15" ca="1">IFERROR(INDEX(dtbBankVXL[Bank],$N15-1+T$10+IF(dtbOutVXL[[#This Row],[IsFiveRows]],-1,0)),"")</f>
        <v>8.5</v>
      </c>
      <c r="U15" s="78" cm="1">
        <f t="array" aca="1" ref="U15" ca="1">IFERROR(INDEX(dtbBankVXL[Bank],$N15-1+U$10+IF(dtbOutVXL[[#This Row],[IsFiveRows]],-1,0)),"")</f>
        <v>9769.2999999999993</v>
      </c>
      <c r="V15" s="78"/>
    </row>
    <row r="16" spans="8:22" x14ac:dyDescent="0.25">
      <c r="H16" t="str">
        <f t="shared" ref="H16:H32" ca="1" si="0">IF(N(J16)&gt;0,SUM(J17:J21)-J16=5,"")</f>
        <v/>
      </c>
      <c r="I16">
        <f ca="1">COUNT(J$14:J16)</f>
        <v>1</v>
      </c>
      <c r="J16" t="str" cm="1">
        <f t="array" aca="1" ref="J16" ca="1">IF(CELL("format",dtbBankVXL[[#This Row],[Bank]])="D1",ROW(dtbBankVXL[[#This Row],[Bank]])-ROW(dtbBankVXL[[#Headers],[Bank]]),"")</f>
        <v/>
      </c>
      <c r="K16" s="38" t="s">
        <v>69</v>
      </c>
      <c r="L16" s="38"/>
      <c r="M16" s="84">
        <f>ROW(dtbOutVXL[[#This Row],[TranDate]])-ROW(dtbOutVXL[[#Headers],[RowIndex]])</f>
        <v>2</v>
      </c>
      <c r="N16" s="84">
        <f ca="1">INDEX(dtbBankVXL[RowIndex],MATCH(dtbOutVXL[[#This Row],[RowIndex]],dtbBankVXL[Count],0))</f>
        <v>6</v>
      </c>
      <c r="O16" s="84" t="b">
        <f ca="1">INDEX(dtbBankVXL[FiveRower],MATCH(dtbOutVXL[[#This Row],[RowIndex]],dtbBankVXL[Count],0))</f>
        <v>0</v>
      </c>
      <c r="P16" s="79">
        <f ca="1">IFERROR(INDEX(dtbBankVXL[Bank],dtbOutVXL[[#This Row],[SourceIndex]]-1+P$10),"")</f>
        <v>45280</v>
      </c>
      <c r="Q16" s="79" t="str" cm="1">
        <f t="array" aca="1" ref="Q16" ca="1">IFERROR(INDEX(dtbBankVXL[Bank],$N16-1+Q$10),"")</f>
        <v>Payment</v>
      </c>
      <c r="R16" s="79" t="str" cm="1">
        <f t="array" aca="1" ref="R16" ca="1">IFERROR(INDEX(dtbBankVXL[Bank],$N16-1+R$10),"")</f>
        <v>Global Organization</v>
      </c>
      <c r="S16" s="79" t="str" cm="1">
        <f t="array" aca="1" ref="S16" ca="1">IF(ISNA(dtbOutVXL[[#This Row],[IsFiveRows]]),"",IF(dtbOutVXL[[#This Row],[IsFiveRows]],"",_xlfn.IFNA(INDEX(dtbBankVXL[Bank],$N16-1+S$10),"")))</f>
        <v>Cherryfestiv Chin Show</v>
      </c>
      <c r="T16" s="78" cm="1">
        <f t="array" aca="1" ref="T16" ca="1">IFERROR(INDEX(dtbBankVXL[Bank],$N16-1+T$10+IF(dtbOutVXL[[#This Row],[IsFiveRows]],-1,0)),"")</f>
        <v>400</v>
      </c>
      <c r="U16" s="78" cm="1">
        <f t="array" aca="1" ref="U16" ca="1">IFERROR(INDEX(dtbBankVXL[Bank],$N16-1+U$10+IF(dtbOutVXL[[#This Row],[IsFiveRows]],-1,0)),"")</f>
        <v>9777.7999999999993</v>
      </c>
      <c r="V16" s="78"/>
    </row>
    <row r="17" spans="8:22" x14ac:dyDescent="0.25">
      <c r="H17" t="str">
        <f t="shared" ca="1" si="0"/>
        <v/>
      </c>
      <c r="I17">
        <f ca="1">COUNT(J$14:J17)</f>
        <v>1</v>
      </c>
      <c r="J17" t="str" cm="1">
        <f t="array" aca="1" ref="J17" ca="1">IF(CELL("format",dtbBankVXL[[#This Row],[Bank]])="D1",ROW(dtbBankVXL[[#This Row],[Bank]])-ROW(dtbBankVXL[[#Headers],[Bank]]),"")</f>
        <v/>
      </c>
      <c r="K17" s="38" t="s">
        <v>68</v>
      </c>
      <c r="L17" s="38"/>
      <c r="M17" s="84">
        <f>ROW(dtbOutVXL[[#This Row],[TranDate]])-ROW(dtbOutVXL[[#Headers],[RowIndex]])</f>
        <v>3</v>
      </c>
      <c r="N17" s="84">
        <f ca="1">INDEX(dtbBankVXL[RowIndex],MATCH(dtbOutVXL[[#This Row],[RowIndex]],dtbBankVXL[Count],0))</f>
        <v>12</v>
      </c>
      <c r="O17" s="84" t="b">
        <f ca="1">INDEX(dtbBankVXL[FiveRower],MATCH(dtbOutVXL[[#This Row],[RowIndex]],dtbBankVXL[Count],0))</f>
        <v>0</v>
      </c>
      <c r="P17" s="79">
        <f ca="1">IFERROR(INDEX(dtbBankVXL[Bank],dtbOutVXL[[#This Row],[SourceIndex]]-1+P$10),"")</f>
        <v>45278</v>
      </c>
      <c r="Q17" s="79" t="str" cm="1">
        <f t="array" aca="1" ref="Q17" ca="1">IFERROR(INDEX(dtbBankVXL[Bank],$N17-1+Q$10),"")</f>
        <v>Payment</v>
      </c>
      <c r="R17" s="79" t="str" cm="1">
        <f t="array" aca="1" ref="R17" ca="1">IFERROR(INDEX(dtbBankVXL[Bank],$N17-1+R$10),"")</f>
        <v>Danken Fend</v>
      </c>
      <c r="S17" s="79" t="str" cm="1">
        <f t="array" aca="1" ref="S17" ca="1">IF(ISNA(dtbOutVXL[[#This Row],[IsFiveRows]]),"",IF(dtbOutVXL[[#This Row],[IsFiveRows]],"",_xlfn.IFNA(INDEX(dtbBankVXL[Bank],$N17-1+S$10),"")))</f>
        <v>Danfen 162117</v>
      </c>
      <c r="T17" s="78" cm="1">
        <f t="array" aca="1" ref="T17" ca="1">IFERROR(INDEX(dtbBankVXL[Bank],$N17-1+T$10+IF(dtbOutVXL[[#This Row],[IsFiveRows]],-1,0)),"")</f>
        <v>1931.05</v>
      </c>
      <c r="U17" s="78" cm="1">
        <f t="array" aca="1" ref="U17" ca="1">IFERROR(INDEX(dtbBankVXL[Bank],$N17-1+U$10+IF(dtbOutVXL[[#This Row],[IsFiveRows]],-1,0)),"")</f>
        <v>10177.799999999999</v>
      </c>
      <c r="V17" s="78"/>
    </row>
    <row r="18" spans="8:22" x14ac:dyDescent="0.25">
      <c r="H18" t="str">
        <f t="shared" ca="1" si="0"/>
        <v/>
      </c>
      <c r="I18">
        <f ca="1">COUNT(J$14:J18)</f>
        <v>1</v>
      </c>
      <c r="J18" t="str" cm="1">
        <f t="array" aca="1" ref="J18" ca="1">IF(CELL("format",dtbBankVXL[[#This Row],[Bank]])="D1",ROW(dtbBankVXL[[#This Row],[Bank]])-ROW(dtbBankVXL[[#Headers],[Bank]]),"")</f>
        <v/>
      </c>
      <c r="K18" s="39">
        <v>8.5</v>
      </c>
      <c r="L18" s="38"/>
      <c r="M18" s="84">
        <f>ROW(dtbOutVXL[[#This Row],[TranDate]])-ROW(dtbOutVXL[[#Headers],[RowIndex]])</f>
        <v>4</v>
      </c>
      <c r="N18" s="84">
        <f ca="1">INDEX(dtbBankVXL[RowIndex],MATCH(dtbOutVXL[[#This Row],[RowIndex]],dtbBankVXL[Count],0))</f>
        <v>18</v>
      </c>
      <c r="O18" s="84" t="b">
        <f ca="1">INDEX(dtbBankVXL[FiveRower],MATCH(dtbOutVXL[[#This Row],[RowIndex]],dtbBankVXL[Count],0))</f>
        <v>0</v>
      </c>
      <c r="P18" s="79">
        <f ca="1">IFERROR(INDEX(dtbBankVXL[Bank],dtbOutVXL[[#This Row],[SourceIndex]]-1+P$10),"")</f>
        <v>45272</v>
      </c>
      <c r="Q18" s="79" t="str" cm="1">
        <f t="array" aca="1" ref="Q18" ca="1">IFERROR(INDEX(dtbBankVXL[Bank],$N18-1+Q$10),"")</f>
        <v>Payment</v>
      </c>
      <c r="R18" s="79" t="str" cm="1">
        <f t="array" aca="1" ref="R18" ca="1">IFERROR(INDEX(dtbBankVXL[Bank],$N18-1+R$10),"")</f>
        <v>Maxflow Plumbing Serv</v>
      </c>
      <c r="S18" s="79" t="str" cm="1">
        <f t="array" aca="1" ref="S18" ca="1">IF(ISNA(dtbOutVXL[[#This Row],[IsFiveRows]]),"",IF(dtbOutVXL[[#This Row],[IsFiveRows]],"",_xlfn.IFNA(INDEX(dtbBankVXL[Bank],$N18-1+S$10),"")))</f>
        <v>Festival Plumbtoilet Henk Soh</v>
      </c>
      <c r="T18" s="78" cm="1">
        <f t="array" aca="1" ref="T18" ca="1">IFERROR(INDEX(dtbBankVXL[Bank],$N18-1+T$10+IF(dtbOutVXL[[#This Row],[IsFiveRows]],-1,0)),"")</f>
        <v>253.24</v>
      </c>
      <c r="U18" s="78" cm="1">
        <f t="array" aca="1" ref="U18" ca="1">IFERROR(INDEX(dtbBankVXL[Bank],$N18-1+U$10+IF(dtbOutVXL[[#This Row],[IsFiveRows]],-1,0)),"")</f>
        <v>12108.85</v>
      </c>
      <c r="V18" s="78"/>
    </row>
    <row r="19" spans="8:22" x14ac:dyDescent="0.25">
      <c r="H19" t="str">
        <f t="shared" ca="1" si="0"/>
        <v/>
      </c>
      <c r="I19">
        <f ca="1">COUNT(J$14:J19)</f>
        <v>1</v>
      </c>
      <c r="J19" t="str" cm="1">
        <f t="array" aca="1" ref="J19" ca="1">IF(CELL("format",dtbBankVXL[[#This Row],[Bank]])="D1",ROW(dtbBankVXL[[#This Row],[Bank]])-ROW(dtbBankVXL[[#Headers],[Bank]]),"")</f>
        <v/>
      </c>
      <c r="K19" s="39">
        <v>9769.2999999999993</v>
      </c>
      <c r="L19" s="38"/>
      <c r="M19" s="84">
        <f>ROW(dtbOutVXL[[#This Row],[TranDate]])-ROW(dtbOutVXL[[#Headers],[RowIndex]])</f>
        <v>5</v>
      </c>
      <c r="N19" s="84">
        <f ca="1">INDEX(dtbBankVXL[RowIndex],MATCH(dtbOutVXL[[#This Row],[RowIndex]],dtbBankVXL[Count],0))</f>
        <v>24</v>
      </c>
      <c r="O19" s="84" t="b">
        <f ca="1">INDEX(dtbBankVXL[FiveRower],MATCH(dtbOutVXL[[#This Row],[RowIndex]],dtbBankVXL[Count],0))</f>
        <v>0</v>
      </c>
      <c r="P19" s="79">
        <f ca="1">IFERROR(INDEX(dtbBankVXL[Bank],dtbOutVXL[[#This Row],[SourceIndex]]-1+P$10),"")</f>
        <v>45268</v>
      </c>
      <c r="Q19" s="79" t="str" cm="1">
        <f t="array" aca="1" ref="Q19" ca="1">IFERROR(INDEX(dtbBankVXL[Bank],$N19-1+Q$10),"")</f>
        <v>Direct Credit</v>
      </c>
      <c r="R19" s="79" t="str" cm="1">
        <f t="array" aca="1" ref="R19" ca="1">IFERROR(INDEX(dtbBankVXL[Bank],$N19-1+R$10),"")</f>
        <v>Stripe Payments</v>
      </c>
      <c r="S19" s="79" t="str" cm="1">
        <f t="array" aca="1" ref="S19" ca="1">IF(ISNA(dtbOutVXL[[#This Row],[IsFiveRows]]),"",IF(dtbOutVXL[[#This Row],[IsFiveRows]],"",_xlfn.IFNA(INDEX(dtbBankVXL[Bank],$N19-1+S$10),"")))</f>
        <v>Trf Rtkz7Nfd Stripe</v>
      </c>
      <c r="T19" s="78" cm="1">
        <f t="array" aca="1" ref="T19" ca="1">IFERROR(INDEX(dtbBankVXL[Bank],$N19-1+T$10+IF(dtbOutVXL[[#This Row],[IsFiveRows]],-1,0)),"")</f>
        <v>-191.34</v>
      </c>
      <c r="U19" s="78" cm="1">
        <f t="array" aca="1" ref="U19" ca="1">IFERROR(INDEX(dtbBankVXL[Bank],$N19-1+U$10+IF(dtbOutVXL[[#This Row],[IsFiveRows]],-1,0)),"")</f>
        <v>12362.09</v>
      </c>
      <c r="V19" s="78"/>
    </row>
    <row r="20" spans="8:22" x14ac:dyDescent="0.25">
      <c r="H20" t="b">
        <f t="shared" ca="1" si="0"/>
        <v>0</v>
      </c>
      <c r="I20">
        <f ca="1">COUNT(J$14:J20)</f>
        <v>2</v>
      </c>
      <c r="J20" cm="1">
        <f t="array" aca="1" ref="J20" ca="1">IF(CELL("format",dtbBankVXL[[#This Row],[Bank]])="D1",ROW(dtbBankVXL[[#This Row],[Bank]])-ROW(dtbBankVXL[[#Headers],[Bank]]),"")</f>
        <v>6</v>
      </c>
      <c r="K20" s="40">
        <v>45280</v>
      </c>
      <c r="L20" s="38"/>
      <c r="M20" s="84">
        <f>ROW(dtbOutVXL[[#This Row],[TranDate]])-ROW(dtbOutVXL[[#Headers],[RowIndex]])</f>
        <v>6</v>
      </c>
      <c r="N20" s="84">
        <f ca="1">INDEX(dtbBankVXL[RowIndex],MATCH(dtbOutVXL[[#This Row],[RowIndex]],dtbBankVXL[Count],0))</f>
        <v>30</v>
      </c>
      <c r="O20" s="84" t="b">
        <f ca="1">INDEX(dtbBankVXL[FiveRower],MATCH(dtbOutVXL[[#This Row],[RowIndex]],dtbBankVXL[Count],0))</f>
        <v>0</v>
      </c>
      <c r="P20" s="79">
        <f ca="1">IFERROR(INDEX(dtbBankVXL[Bank],dtbOutVXL[[#This Row],[SourceIndex]]-1+P$10),"")</f>
        <v>45267</v>
      </c>
      <c r="Q20" s="79" t="str" cm="1">
        <f t="array" aca="1" ref="Q20" ca="1">IFERROR(INDEX(dtbBankVXL[Bank],$N20-1+Q$10),"")</f>
        <v>Payment</v>
      </c>
      <c r="R20" s="79" t="str" cm="1">
        <f t="array" aca="1" ref="R20" ca="1">IFERROR(INDEX(dtbBankVXL[Bank],$N20-1+R$10),"")</f>
        <v>A E Depp</v>
      </c>
      <c r="S20" s="79" t="str" cm="1">
        <f t="array" aca="1" ref="S20" ca="1">IF(ISNA(dtbOutVXL[[#This Row],[IsFiveRows]]),"",IF(dtbOutVXL[[#This Row],[IsFiveRows]],"",_xlfn.IFNA(INDEX(dtbBankVXL[Bank],$N20-1+S$10),"")))</f>
        <v>Cherry Festi Vl Sag Sod</v>
      </c>
      <c r="T20" s="78" cm="1">
        <f t="array" aca="1" ref="T20" ca="1">IFERROR(INDEX(dtbBankVXL[Bank],$N20-1+T$10+IF(dtbOutVXL[[#This Row],[IsFiveRows]],-1,0)),"")</f>
        <v>250</v>
      </c>
      <c r="U20" s="78" cm="1">
        <f t="array" aca="1" ref="U20" ca="1">IFERROR(INDEX(dtbBankVXL[Bank],$N20-1+U$10+IF(dtbOutVXL[[#This Row],[IsFiveRows]],-1,0)),"")</f>
        <v>12170.75</v>
      </c>
      <c r="V20" s="78"/>
    </row>
    <row r="21" spans="8:22" x14ac:dyDescent="0.25">
      <c r="H21" t="str">
        <f t="shared" ca="1" si="0"/>
        <v/>
      </c>
      <c r="I21">
        <f ca="1">COUNT(J$14:J21)</f>
        <v>2</v>
      </c>
      <c r="J21" t="str" cm="1">
        <f t="array" aca="1" ref="J21" ca="1">IF(CELL("format",dtbBankVXL[[#This Row],[Bank]])="D1",ROW(dtbBankVXL[[#This Row],[Bank]])-ROW(dtbBankVXL[[#Headers],[Bank]]),"")</f>
        <v/>
      </c>
      <c r="K21" s="38" t="s">
        <v>39</v>
      </c>
      <c r="L21" s="38"/>
      <c r="M21" s="84">
        <f>ROW(dtbOutVXL[[#This Row],[TranDate]])-ROW(dtbOutVXL[[#Headers],[RowIndex]])</f>
        <v>7</v>
      </c>
      <c r="N21" s="84">
        <f ca="1">INDEX(dtbBankVXL[RowIndex],MATCH(dtbOutVXL[[#This Row],[RowIndex]],dtbBankVXL[Count],0))</f>
        <v>36</v>
      </c>
      <c r="O21" s="84" t="b">
        <f ca="1">INDEX(dtbBankVXL[FiveRower],MATCH(dtbOutVXL[[#This Row],[RowIndex]],dtbBankVXL[Count],0))</f>
        <v>0</v>
      </c>
      <c r="P21" s="79">
        <f ca="1">IFERROR(INDEX(dtbBankVXL[Bank],dtbOutVXL[[#This Row],[SourceIndex]]-1+P$10),"")</f>
        <v>45261</v>
      </c>
      <c r="Q21" s="79" t="str" cm="1">
        <f t="array" aca="1" ref="Q21" ca="1">IFERROR(INDEX(dtbBankVXL[Bank],$N21-1+Q$10),"")</f>
        <v>Direct Credit</v>
      </c>
      <c r="R21" s="79" t="str" cm="1">
        <f t="array" aca="1" ref="R21" ca="1">IFERROR(INDEX(dtbBankVXL[Bank],$N21-1+R$10),"")</f>
        <v>Stripe Payments</v>
      </c>
      <c r="S21" s="79" t="str" cm="1">
        <f t="array" aca="1" ref="S21" ca="1">IF(ISNA(dtbOutVXL[[#This Row],[IsFiveRows]]),"",IF(dtbOutVXL[[#This Row],[IsFiveRows]],"",_xlfn.IFNA(INDEX(dtbBankVXL[Bank],$N21-1+S$10),"")))</f>
        <v>Trf Rpfwp36U Stripe</v>
      </c>
      <c r="T21" s="78" cm="1">
        <f t="array" aca="1" ref="T21" ca="1">IFERROR(INDEX(dtbBankVXL[Bank],$N21-1+T$10+IF(dtbOutVXL[[#This Row],[IsFiveRows]],-1,0)),"")</f>
        <v>-28.59</v>
      </c>
      <c r="U21" s="78" cm="1">
        <f t="array" aca="1" ref="U21" ca="1">IFERROR(INDEX(dtbBankVXL[Bank],$N21-1+U$10+IF(dtbOutVXL[[#This Row],[IsFiveRows]],-1,0)),"")</f>
        <v>12420.75</v>
      </c>
      <c r="V21" s="78"/>
    </row>
    <row r="22" spans="8:22" x14ac:dyDescent="0.25">
      <c r="H22" t="str">
        <f t="shared" ca="1" si="0"/>
        <v/>
      </c>
      <c r="I22">
        <f ca="1">COUNT(J$14:J22)</f>
        <v>2</v>
      </c>
      <c r="J22" t="str" cm="1">
        <f t="array" aca="1" ref="J22" ca="1">IF(CELL("format",dtbBankVXL[[#This Row],[Bank]])="D1",ROW(dtbBankVXL[[#This Row],[Bank]])-ROW(dtbBankVXL[[#Headers],[Bank]]),"")</f>
        <v/>
      </c>
      <c r="K22" s="38" t="s">
        <v>79</v>
      </c>
      <c r="L22" s="38"/>
      <c r="M22" s="84">
        <f>ROW(dtbOutVXL[[#This Row],[TranDate]])-ROW(dtbOutVXL[[#Headers],[RowIndex]])</f>
        <v>8</v>
      </c>
      <c r="N22" s="84">
        <f ca="1">INDEX(dtbBankVXL[RowIndex],MATCH(dtbOutVXL[[#This Row],[RowIndex]],dtbBankVXL[Count],0))</f>
        <v>42</v>
      </c>
      <c r="O22" s="84" t="b">
        <f ca="1">INDEX(dtbBankVXL[FiveRower],MATCH(dtbOutVXL[[#This Row],[RowIndex]],dtbBankVXL[Count],0))</f>
        <v>1</v>
      </c>
      <c r="P22" s="79">
        <f ca="1">IFERROR(INDEX(dtbBankVXL[Bank],dtbOutVXL[[#This Row],[SourceIndex]]-1+P$10),"")</f>
        <v>45260</v>
      </c>
      <c r="Q22" s="79" t="str" cm="1">
        <f t="array" aca="1" ref="Q22" ca="1">IFERROR(INDEX(dtbBankVXL[Bank],$N22-1+Q$10),"")</f>
        <v>Bank Fee</v>
      </c>
      <c r="R22" s="79" t="str" cm="1">
        <f t="array" aca="1" ref="R22" ca="1">IFERROR(INDEX(dtbBankVXL[Bank],$N22-1+R$10),"")</f>
        <v>Monthly A/C Fee</v>
      </c>
      <c r="S22" s="79" t="str" cm="1">
        <f t="array" aca="1" ref="S22" ca="1">IF(ISNA(dtbOutVXL[[#This Row],[IsFiveRows]]),"",IF(dtbOutVXL[[#This Row],[IsFiveRows]],"",_xlfn.IFNA(INDEX(dtbBankVXL[Bank],$N22-1+S$10),"")))</f>
        <v/>
      </c>
      <c r="T22" s="78" cm="1">
        <f t="array" aca="1" ref="T22" ca="1">IFERROR(INDEX(dtbBankVXL[Bank],$N22-1+T$10+IF(dtbOutVXL[[#This Row],[IsFiveRows]],-1,0)),"")</f>
        <v>8.5</v>
      </c>
      <c r="U22" s="78" cm="1">
        <f t="array" aca="1" ref="U22" ca="1">IFERROR(INDEX(dtbBankVXL[Bank],$N22-1+U$10+IF(dtbOutVXL[[#This Row],[IsFiveRows]],-1,0)),"")</f>
        <v>12392.16</v>
      </c>
      <c r="V22" s="78"/>
    </row>
    <row r="23" spans="8:22" x14ac:dyDescent="0.25">
      <c r="H23" t="str">
        <f t="shared" ca="1" si="0"/>
        <v/>
      </c>
      <c r="I23">
        <f ca="1">COUNT(J$14:J23)</f>
        <v>2</v>
      </c>
      <c r="J23" t="str" cm="1">
        <f t="array" aca="1" ref="J23" ca="1">IF(CELL("format",dtbBankVXL[[#This Row],[Bank]])="D1",ROW(dtbBankVXL[[#This Row],[Bank]])-ROW(dtbBankVXL[[#Headers],[Bank]]),"")</f>
        <v/>
      </c>
      <c r="K23" s="38" t="s">
        <v>78</v>
      </c>
      <c r="L23" s="38"/>
      <c r="M23" s="84">
        <f>ROW(dtbOutVXL[[#This Row],[TranDate]])-ROW(dtbOutVXL[[#Headers],[RowIndex]])</f>
        <v>9</v>
      </c>
      <c r="N23" s="84">
        <f ca="1">INDEX(dtbBankVXL[RowIndex],MATCH(dtbOutVXL[[#This Row],[RowIndex]],dtbBankVXL[Count],0))</f>
        <v>47</v>
      </c>
      <c r="O23" s="84" t="b">
        <f ca="1">INDEX(dtbBankVXL[FiveRower],MATCH(dtbOutVXL[[#This Row],[RowIndex]],dtbBankVXL[Count],0))</f>
        <v>0</v>
      </c>
      <c r="P23" s="79">
        <f ca="1">IFERROR(INDEX(dtbBankVXL[Bank],dtbOutVXL[[#This Row],[SourceIndex]]-1+P$10),"")</f>
        <v>45258</v>
      </c>
      <c r="Q23" s="79" t="str" cm="1">
        <f t="array" aca="1" ref="Q23" ca="1">IFERROR(INDEX(dtbBankVXL[Bank],$N23-1+Q$10),"")</f>
        <v>Direct Credit</v>
      </c>
      <c r="R23" s="79" t="str" cm="1">
        <f t="array" aca="1" ref="R23" ca="1">IFERROR(INDEX(dtbBankVXL[Bank],$N23-1+R$10),"")</f>
        <v>Stripe Payments</v>
      </c>
      <c r="S23" s="79" t="str" cm="1">
        <f t="array" aca="1" ref="S23" ca="1">IF(ISNA(dtbOutVXL[[#This Row],[IsFiveRows]]),"",IF(dtbOutVXL[[#This Row],[IsFiveRows]],"",_xlfn.IFNA(INDEX(dtbBankVXL[Bank],$N23-1+S$10),"")))</f>
        <v>Trf Zmi7Uimr Stripe</v>
      </c>
      <c r="T23" s="78" cm="1">
        <f t="array" aca="1" ref="T23" ca="1">IFERROR(INDEX(dtbBankVXL[Bank],$N23-1+T$10+IF(dtbOutVXL[[#This Row],[IsFiveRows]],-1,0)),"")</f>
        <v>-191.2</v>
      </c>
      <c r="U23" s="78" cm="1">
        <f t="array" aca="1" ref="U23" ca="1">IFERROR(INDEX(dtbBankVXL[Bank],$N23-1+U$10+IF(dtbOutVXL[[#This Row],[IsFiveRows]],-1,0)),"")</f>
        <v>12400.66</v>
      </c>
      <c r="V23" s="78"/>
    </row>
    <row r="24" spans="8:22" x14ac:dyDescent="0.25">
      <c r="H24" t="str">
        <f t="shared" ca="1" si="0"/>
        <v/>
      </c>
      <c r="I24">
        <f ca="1">COUNT(J$14:J24)</f>
        <v>2</v>
      </c>
      <c r="J24" t="str" cm="1">
        <f t="array" aca="1" ref="J24" ca="1">IF(CELL("format",dtbBankVXL[[#This Row],[Bank]])="D1",ROW(dtbBankVXL[[#This Row],[Bank]])-ROW(dtbBankVXL[[#Headers],[Bank]]),"")</f>
        <v/>
      </c>
      <c r="K24" s="39">
        <v>400</v>
      </c>
      <c r="L24" s="38"/>
      <c r="M24" s="84">
        <f>ROW(dtbOutVXL[[#This Row],[TranDate]])-ROW(dtbOutVXL[[#Headers],[RowIndex]])</f>
        <v>10</v>
      </c>
      <c r="N24" s="84">
        <f ca="1">INDEX(dtbBankVXL[RowIndex],MATCH(dtbOutVXL[[#This Row],[RowIndex]],dtbBankVXL[Count],0))</f>
        <v>53</v>
      </c>
      <c r="O24" s="84" t="b">
        <f ca="1">INDEX(dtbBankVXL[FiveRower],MATCH(dtbOutVXL[[#This Row],[RowIndex]],dtbBankVXL[Count],0))</f>
        <v>0</v>
      </c>
      <c r="P24" s="79">
        <f ca="1">IFERROR(INDEX(dtbBankVXL[Bank],dtbOutVXL[[#This Row],[SourceIndex]]-1+P$10),"")</f>
        <v>45257</v>
      </c>
      <c r="Q24" s="79" t="str" cm="1">
        <f t="array" aca="1" ref="Q24" ca="1">IFERROR(INDEX(dtbBankVXL[Bank],$N24-1+Q$10),"")</f>
        <v>Tax Payment</v>
      </c>
      <c r="R24" s="79" t="str" cm="1">
        <f t="array" aca="1" ref="R24" ca="1">IFERROR(INDEX(dtbBankVXL[Bank],$N24-1+R$10),"")</f>
        <v>Inland Revenue GST</v>
      </c>
      <c r="S24" s="79" t="str" cm="1">
        <f t="array" aca="1" ref="S24" ca="1">IF(ISNA(dtbOutVXL[[#This Row],[IsFiveRows]]),"",IF(dtbOutVXL[[#This Row],[IsFiveRows]],"",_xlfn.IFNA(INDEX(dtbBankVXL[Bank],$N24-1+S$10),"")))</f>
        <v>115-689-304 Gst</v>
      </c>
      <c r="T24" s="78" cm="1">
        <f t="array" aca="1" ref="T24" ca="1">IFERROR(INDEX(dtbBankVXL[Bank],$N24-1+T$10+IF(dtbOutVXL[[#This Row],[IsFiveRows]],-1,0)),"")</f>
        <v>8695.0499999999993</v>
      </c>
      <c r="U24" s="78" cm="1">
        <f t="array" aca="1" ref="U24" ca="1">IFERROR(INDEX(dtbBankVXL[Bank],$N24-1+U$10+IF(dtbOutVXL[[#This Row],[IsFiveRows]],-1,0)),"")</f>
        <v>12209.46</v>
      </c>
      <c r="V24" s="78"/>
    </row>
    <row r="25" spans="8:22" x14ac:dyDescent="0.25">
      <c r="H25" t="str">
        <f t="shared" ca="1" si="0"/>
        <v/>
      </c>
      <c r="I25">
        <f ca="1">COUNT(J$14:J25)</f>
        <v>2</v>
      </c>
      <c r="J25" t="str" cm="1">
        <f t="array" aca="1" ref="J25" ca="1">IF(CELL("format",dtbBankVXL[[#This Row],[Bank]])="D1",ROW(dtbBankVXL[[#This Row],[Bank]])-ROW(dtbBankVXL[[#Headers],[Bank]]),"")</f>
        <v/>
      </c>
      <c r="K25" s="39">
        <v>9777.7999999999993</v>
      </c>
      <c r="L25" s="38"/>
      <c r="M25" s="84">
        <f>ROW(dtbOutVXL[[#This Row],[TranDate]])-ROW(dtbOutVXL[[#Headers],[RowIndex]])</f>
        <v>11</v>
      </c>
      <c r="N25" s="84">
        <f ca="1">INDEX(dtbBankVXL[RowIndex],MATCH(dtbOutVXL[[#This Row],[RowIndex]],dtbBankVXL[Count],0))</f>
        <v>59</v>
      </c>
      <c r="O25" s="84" t="b">
        <f ca="1">INDEX(dtbBankVXL[FiveRower],MATCH(dtbOutVXL[[#This Row],[RowIndex]],dtbBankVXL[Count],0))</f>
        <v>0</v>
      </c>
      <c r="P25" s="79">
        <f ca="1">IFERROR(INDEX(dtbBankVXL[Bank],dtbOutVXL[[#This Row],[SourceIndex]]-1+P$10),"")</f>
        <v>45252</v>
      </c>
      <c r="Q25" s="79" t="str" cm="1">
        <f t="array" aca="1" ref="Q25" ca="1">IFERROR(INDEX(dtbBankVXL[Bank],$N25-1+Q$10),"")</f>
        <v>Direct Credit</v>
      </c>
      <c r="R25" s="79" t="str" cm="1">
        <f t="array" aca="1" ref="R25" ca="1">IFERROR(INDEX(dtbBankVXL[Bank],$N25-1+R$10),"")</f>
        <v>Stripe Payments</v>
      </c>
      <c r="S25" s="79" t="str" cm="1">
        <f t="array" aca="1" ref="S25" ca="1">IF(ISNA(dtbOutVXL[[#This Row],[IsFiveRows]]),"",IF(dtbOutVXL[[#This Row],[IsFiveRows]],"",_xlfn.IFNA(INDEX(dtbBankVXL[Bank],$N25-1+S$10),"")))</f>
        <v>Trf 15Foa16S Stripe</v>
      </c>
      <c r="T25" s="78" cm="1">
        <f t="array" aca="1" ref="T25" ca="1">IFERROR(INDEX(dtbBankVXL[Bank],$N25-1+T$10+IF(dtbOutVXL[[#This Row],[IsFiveRows]],-1,0)),"")</f>
        <v>-192.54</v>
      </c>
      <c r="U25" s="78" cm="1">
        <f t="array" aca="1" ref="U25" ca="1">IFERROR(INDEX(dtbBankVXL[Bank],$N25-1+U$10+IF(dtbOutVXL[[#This Row],[IsFiveRows]],-1,0)),"")</f>
        <v>20904.509999999998</v>
      </c>
      <c r="V25" s="78"/>
    </row>
    <row r="26" spans="8:22" x14ac:dyDescent="0.25">
      <c r="H26" t="b">
        <f t="shared" ca="1" si="0"/>
        <v>0</v>
      </c>
      <c r="I26">
        <f ca="1">COUNT(J$14:J26)</f>
        <v>3</v>
      </c>
      <c r="J26" cm="1">
        <f t="array" aca="1" ref="J26" ca="1">IF(CELL("format",dtbBankVXL[[#This Row],[Bank]])="D1",ROW(dtbBankVXL[[#This Row],[Bank]])-ROW(dtbBankVXL[[#Headers],[Bank]]),"")</f>
        <v>12</v>
      </c>
      <c r="K26" s="40">
        <v>45278</v>
      </c>
      <c r="L26" s="38"/>
      <c r="M26" s="84">
        <f>ROW(dtbOutVXL[[#This Row],[TranDate]])-ROW(dtbOutVXL[[#Headers],[RowIndex]])</f>
        <v>12</v>
      </c>
      <c r="N26" s="84">
        <f ca="1">INDEX(dtbBankVXL[RowIndex],MATCH(dtbOutVXL[[#This Row],[RowIndex]],dtbBankVXL[Count],0))</f>
        <v>65</v>
      </c>
      <c r="O26" s="84" t="b">
        <f ca="1">INDEX(dtbBankVXL[FiveRower],MATCH(dtbOutVXL[[#This Row],[RowIndex]],dtbBankVXL[Count],0))</f>
        <v>0</v>
      </c>
      <c r="P26" s="79">
        <f ca="1">IFERROR(INDEX(dtbBankVXL[Bank],dtbOutVXL[[#This Row],[SourceIndex]]-1+P$10),"")</f>
        <v>45247</v>
      </c>
      <c r="Q26" s="79" t="str" cm="1">
        <f t="array" aca="1" ref="Q26" ca="1">IFERROR(INDEX(dtbBankVXL[Bank],$N26-1+Q$10),"")</f>
        <v>Direct Credit</v>
      </c>
      <c r="R26" s="79" t="str" cm="1">
        <f t="array" aca="1" ref="R26" ca="1">IFERROR(INDEX(dtbBankVXL[Bank],$N26-1+R$10),"")</f>
        <v>Stripe Payments</v>
      </c>
      <c r="S26" s="79" t="str" cm="1">
        <f t="array" aca="1" ref="S26" ca="1">IF(ISNA(dtbOutVXL[[#This Row],[IsFiveRows]]),"",IF(dtbOutVXL[[#This Row],[IsFiveRows]],"",_xlfn.IFNA(INDEX(dtbBankVXL[Bank],$N26-1+S$10),"")))</f>
        <v>Trf Sxrn50H8 Stripe</v>
      </c>
      <c r="T26" s="78" cm="1">
        <f t="array" aca="1" ref="T26" ca="1">IFERROR(INDEX(dtbBankVXL[Bank],$N26-1+T$10+IF(dtbOutVXL[[#This Row],[IsFiveRows]],-1,0)),"")</f>
        <v>-614.09</v>
      </c>
      <c r="U26" s="78" cm="1">
        <f t="array" aca="1" ref="U26" ca="1">IFERROR(INDEX(dtbBankVXL[Bank],$N26-1+U$10+IF(dtbOutVXL[[#This Row],[IsFiveRows]],-1,0)),"")</f>
        <v>20711.97</v>
      </c>
      <c r="V26" s="78"/>
    </row>
    <row r="27" spans="8:22" x14ac:dyDescent="0.25">
      <c r="H27" t="str">
        <f t="shared" ca="1" si="0"/>
        <v/>
      </c>
      <c r="I27">
        <f ca="1">COUNT(J$14:J27)</f>
        <v>3</v>
      </c>
      <c r="J27" t="str" cm="1">
        <f t="array" aca="1" ref="J27" ca="1">IF(CELL("format",dtbBankVXL[[#This Row],[Bank]])="D1",ROW(dtbBankVXL[[#This Row],[Bank]])-ROW(dtbBankVXL[[#Headers],[Bank]]),"")</f>
        <v/>
      </c>
      <c r="K27" s="38" t="s">
        <v>39</v>
      </c>
      <c r="L27" s="38"/>
      <c r="M27" s="84">
        <f>ROW(dtbOutVXL[[#This Row],[TranDate]])-ROW(dtbOutVXL[[#Headers],[RowIndex]])</f>
        <v>13</v>
      </c>
      <c r="N27" s="84">
        <f ca="1">INDEX(dtbBankVXL[RowIndex],MATCH(dtbOutVXL[[#This Row],[RowIndex]],dtbBankVXL[Count],0))</f>
        <v>71</v>
      </c>
      <c r="O27" s="84" t="b">
        <f ca="1">INDEX(dtbBankVXL[FiveRower],MATCH(dtbOutVXL[[#This Row],[RowIndex]],dtbBankVXL[Count],0))</f>
        <v>0</v>
      </c>
      <c r="P27" s="79">
        <f ca="1">IFERROR(INDEX(dtbBankVXL[Bank],dtbOutVXL[[#This Row],[SourceIndex]]-1+P$10),"")</f>
        <v>45244</v>
      </c>
      <c r="Q27" s="79" t="str" cm="1">
        <f t="array" aca="1" ref="Q27" ca="1">IFERROR(INDEX(dtbBankVXL[Bank],$N27-1+Q$10),"")</f>
        <v>Payment</v>
      </c>
      <c r="R27" s="79" t="str" cm="1">
        <f t="array" aca="1" ref="R27" ca="1">IFERROR(INDEX(dtbBankVXL[Bank],$N27-1+R$10),"")</f>
        <v>Sue Mu-Tzu Hsu</v>
      </c>
      <c r="S27" s="79" t="str" cm="1">
        <f t="array" aca="1" ref="S27" ca="1">IF(ISNA(dtbOutVXL[[#This Row],[IsFiveRows]]),"",IF(dtbOutVXL[[#This Row],[IsFiveRows]],"",_xlfn.IFNA(INDEX(dtbBankVXL[Bank],$N27-1+S$10),"")))</f>
        <v>Cherryfestiv Pipa</v>
      </c>
      <c r="T27" s="78" cm="1">
        <f t="array" aca="1" ref="T27" ca="1">IFERROR(INDEX(dtbBankVXL[Bank],$N27-1+T$10+IF(dtbOutVXL[[#This Row],[IsFiveRows]],-1,0)),"")</f>
        <v>230</v>
      </c>
      <c r="U27" s="78" cm="1">
        <f t="array" aca="1" ref="U27" ca="1">IFERROR(INDEX(dtbBankVXL[Bank],$N27-1+U$10+IF(dtbOutVXL[[#This Row],[IsFiveRows]],-1,0)),"")</f>
        <v>20097.88</v>
      </c>
      <c r="V27" s="78"/>
    </row>
    <row r="28" spans="8:22" x14ac:dyDescent="0.25">
      <c r="H28" t="str">
        <f t="shared" ca="1" si="0"/>
        <v/>
      </c>
      <c r="I28">
        <f ca="1">COUNT(J$14:J28)</f>
        <v>3</v>
      </c>
      <c r="J28" t="str" cm="1">
        <f t="array" aca="1" ref="J28" ca="1">IF(CELL("format",dtbBankVXL[[#This Row],[Bank]])="D1",ROW(dtbBankVXL[[#This Row],[Bank]])-ROW(dtbBankVXL[[#Headers],[Bank]]),"")</f>
        <v/>
      </c>
      <c r="K28" s="38" t="s">
        <v>77</v>
      </c>
      <c r="L28" s="38"/>
      <c r="M28" s="84">
        <f>ROW(dtbOutVXL[[#This Row],[TranDate]])-ROW(dtbOutVXL[[#Headers],[RowIndex]])</f>
        <v>14</v>
      </c>
      <c r="N28" s="84">
        <f ca="1">INDEX(dtbBankVXL[RowIndex],MATCH(dtbOutVXL[[#This Row],[RowIndex]],dtbBankVXL[Count],0))</f>
        <v>77</v>
      </c>
      <c r="O28" s="84" t="b">
        <f ca="1">INDEX(dtbBankVXL[FiveRower],MATCH(dtbOutVXL[[#This Row],[RowIndex]],dtbBankVXL[Count],0))</f>
        <v>0</v>
      </c>
      <c r="P28" s="79">
        <f ca="1">IFERROR(INDEX(dtbBankVXL[Bank],dtbOutVXL[[#This Row],[SourceIndex]]-1+P$10),"")</f>
        <v>45244</v>
      </c>
      <c r="Q28" s="79" t="str" cm="1">
        <f t="array" aca="1" ref="Q28" ca="1">IFERROR(INDEX(dtbBankVXL[Bank],$N28-1+Q$10),"")</f>
        <v>Payment</v>
      </c>
      <c r="R28" s="79" t="str" cm="1">
        <f t="array" aca="1" ref="R28" ca="1">IFERROR(INDEX(dtbBankVXL[Bank],$N28-1+R$10),"")</f>
        <v>Mexican Folkloric Da</v>
      </c>
      <c r="S28" s="79" t="str" cm="1">
        <f t="array" aca="1" ref="S28" ca="1">IF(ISNA(dtbOutVXL[[#This Row],[IsFiveRows]]),"",IF(dtbOutVXL[[#This Row],[IsFiveRows]],"",_xlfn.IFNA(INDEX(dtbBankVXL[Bank],$N28-1+S$10),"")))</f>
        <v>Cherryfestiv Mexican Folk Los teh</v>
      </c>
      <c r="T28" s="78" cm="1">
        <f t="array" aca="1" ref="T28" ca="1">IFERROR(INDEX(dtbBankVXL[Bank],$N28-1+T$10+IF(dtbOutVXL[[#This Row],[IsFiveRows]],-1,0)),"")</f>
        <v>200</v>
      </c>
      <c r="U28" s="78" cm="1">
        <f t="array" aca="1" ref="U28" ca="1">IFERROR(INDEX(dtbBankVXL[Bank],$N28-1+U$10+IF(dtbOutVXL[[#This Row],[IsFiveRows]],-1,0)),"")</f>
        <v>20327.88</v>
      </c>
      <c r="V28" s="78"/>
    </row>
    <row r="29" spans="8:22" x14ac:dyDescent="0.25">
      <c r="H29" t="str">
        <f t="shared" ca="1" si="0"/>
        <v/>
      </c>
      <c r="I29">
        <f ca="1">COUNT(J$14:J29)</f>
        <v>3</v>
      </c>
      <c r="J29" t="str" cm="1">
        <f t="array" aca="1" ref="J29" ca="1">IF(CELL("format",dtbBankVXL[[#This Row],[Bank]])="D1",ROW(dtbBankVXL[[#This Row],[Bank]])-ROW(dtbBankVXL[[#Headers],[Bank]]),"")</f>
        <v/>
      </c>
      <c r="K29" s="38" t="s">
        <v>76</v>
      </c>
      <c r="L29" s="38"/>
      <c r="M29" s="84">
        <f>ROW(dtbOutVXL[[#This Row],[TranDate]])-ROW(dtbOutVXL[[#Headers],[RowIndex]])</f>
        <v>15</v>
      </c>
      <c r="N29" s="84">
        <f ca="1">INDEX(dtbBankVXL[RowIndex],MATCH(dtbOutVXL[[#This Row],[RowIndex]],dtbBankVXL[Count],0))</f>
        <v>83</v>
      </c>
      <c r="O29" s="84" t="b">
        <f ca="1">INDEX(dtbBankVXL[FiveRower],MATCH(dtbOutVXL[[#This Row],[RowIndex]],dtbBankVXL[Count],0))</f>
        <v>0</v>
      </c>
      <c r="P29" s="79">
        <f ca="1">IFERROR(INDEX(dtbBankVXL[Bank],dtbOutVXL[[#This Row],[SourceIndex]]-1+P$10),"")</f>
        <v>45243</v>
      </c>
      <c r="Q29" s="79" t="str" cm="1">
        <f t="array" aca="1" ref="Q29" ca="1">IFERROR(INDEX(dtbBankVXL[Bank],$N29-1+Q$10),"")</f>
        <v>Payment</v>
      </c>
      <c r="R29" s="79" t="str" cm="1">
        <f t="array" aca="1" ref="R29" ca="1">IFERROR(INDEX(dtbBankVXL[Bank],$N29-1+R$10),"")</f>
        <v>Ableowl Xl</v>
      </c>
      <c r="S29" s="79" t="str" cm="1">
        <f t="array" aca="1" ref="S29" ca="1">IF(ISNA(dtbOutVXL[[#This Row],[IsFiveRows]]),"",IF(dtbOutVXL[[#This Row],[IsFiveRows]],"",_xlfn.IFNA(INDEX(dtbBankVXL[Bank],$N29-1+S$10),"")))</f>
        <v>Payment For Fantess Festival Wag</v>
      </c>
      <c r="T29" s="78" cm="1">
        <f t="array" aca="1" ref="T29" ca="1">IFERROR(INDEX(dtbBankVXL[Bank],$N29-1+T$10+IF(dtbOutVXL[[#This Row],[IsFiveRows]],-1,0)),"")</f>
        <v>4887.37</v>
      </c>
      <c r="U29" s="78" cm="1">
        <f t="array" aca="1" ref="U29" ca="1">IFERROR(INDEX(dtbBankVXL[Bank],$N29-1+U$10+IF(dtbOutVXL[[#This Row],[IsFiveRows]],-1,0)),"")</f>
        <v>20527.88</v>
      </c>
      <c r="V29" s="78"/>
    </row>
    <row r="30" spans="8:22" x14ac:dyDescent="0.25">
      <c r="H30" t="str">
        <f t="shared" ca="1" si="0"/>
        <v/>
      </c>
      <c r="I30">
        <f ca="1">COUNT(J$14:J30)</f>
        <v>3</v>
      </c>
      <c r="J30" t="str" cm="1">
        <f t="array" aca="1" ref="J30" ca="1">IF(CELL("format",dtbBankVXL[[#This Row],[Bank]])="D1",ROW(dtbBankVXL[[#This Row],[Bank]])-ROW(dtbBankVXL[[#Headers],[Bank]]),"")</f>
        <v/>
      </c>
      <c r="K30" s="39">
        <v>1931.05</v>
      </c>
      <c r="L30" s="38"/>
      <c r="M30" s="84">
        <f>ROW(dtbOutVXL[[#This Row],[TranDate]])-ROW(dtbOutVXL[[#Headers],[RowIndex]])</f>
        <v>16</v>
      </c>
      <c r="N30" s="84">
        <f ca="1">INDEX(dtbBankVXL[RowIndex],MATCH(dtbOutVXL[[#This Row],[RowIndex]],dtbBankVXL[Count],0))</f>
        <v>89</v>
      </c>
      <c r="O30" s="84" t="b">
        <f ca="1">INDEX(dtbBankVXL[FiveRower],MATCH(dtbOutVXL[[#This Row],[RowIndex]],dtbBankVXL[Count],0))</f>
        <v>0</v>
      </c>
      <c r="P30" s="79">
        <f ca="1">IFERROR(INDEX(dtbBankVXL[Bank],dtbOutVXL[[#This Row],[SourceIndex]]-1+P$10),"")</f>
        <v>45243</v>
      </c>
      <c r="Q30" s="79" t="str" cm="1">
        <f t="array" aca="1" ref="Q30" ca="1">IFERROR(INDEX(dtbBankVXL[Bank],$N30-1+Q$10),"")</f>
        <v>Payment</v>
      </c>
      <c r="R30" s="79" t="str" cm="1">
        <f t="array" aca="1" ref="R30" ca="1">IFERROR(INDEX(dtbBankVXL[Bank],$N30-1+R$10),"")</f>
        <v>The Big Bang</v>
      </c>
      <c r="S30" s="79" t="str" cm="1">
        <f t="array" aca="1" ref="S30" ca="1">IF(ISNA(dtbOutVXL[[#This Row],[IsFiveRows]]),"",IF(dtbOutVXL[[#This Row],[IsFiveRows]],"",_xlfn.IFNA(INDEX(dtbBankVXL[Bank],$N30-1+S$10),"")))</f>
        <v>The B&amp;B</v>
      </c>
      <c r="T30" s="78" cm="1">
        <f t="array" aca="1" ref="T30" ca="1">IFERROR(INDEX(dtbBankVXL[Bank],$N30-1+T$10+IF(dtbOutVXL[[#This Row],[IsFiveRows]],-1,0)),"")</f>
        <v>-1120</v>
      </c>
      <c r="U30" s="78" cm="1">
        <f t="array" aca="1" ref="U30" ca="1">IFERROR(INDEX(dtbBankVXL[Bank],$N30-1+U$10+IF(dtbOutVXL[[#This Row],[IsFiveRows]],-1,0)),"")</f>
        <v>25415.25</v>
      </c>
      <c r="V30" s="78"/>
    </row>
    <row r="31" spans="8:22" x14ac:dyDescent="0.25">
      <c r="H31" t="str">
        <f t="shared" ca="1" si="0"/>
        <v/>
      </c>
      <c r="I31">
        <f ca="1">COUNT(J$14:J31)</f>
        <v>3</v>
      </c>
      <c r="J31" t="str" cm="1">
        <f t="array" aca="1" ref="J31" ca="1">IF(CELL("format",dtbBankVXL[[#This Row],[Bank]])="D1",ROW(dtbBankVXL[[#This Row],[Bank]])-ROW(dtbBankVXL[[#Headers],[Bank]]),"")</f>
        <v/>
      </c>
      <c r="K31" s="39">
        <v>10177.799999999999</v>
      </c>
      <c r="L31" s="38"/>
      <c r="M31" s="84">
        <f>ROW(dtbOutVXL[[#This Row],[TranDate]])-ROW(dtbOutVXL[[#Headers],[RowIndex]])</f>
        <v>17</v>
      </c>
      <c r="N31" s="84">
        <f ca="1">INDEX(dtbBankVXL[RowIndex],MATCH(dtbOutVXL[[#This Row],[RowIndex]],dtbBankVXL[Count],0))</f>
        <v>95</v>
      </c>
      <c r="O31" s="84" t="b">
        <f ca="1">INDEX(dtbBankVXL[FiveRower],MATCH(dtbOutVXL[[#This Row],[RowIndex]],dtbBankVXL[Count],0))</f>
        <v>0</v>
      </c>
      <c r="P31" s="79">
        <f ca="1">IFERROR(INDEX(dtbBankVXL[Bank],dtbOutVXL[[#This Row],[SourceIndex]]-1+P$10),"")</f>
        <v>45238</v>
      </c>
      <c r="Q31" s="79" t="str" cm="1">
        <f t="array" aca="1" ref="Q31" ca="1">IFERROR(INDEX(dtbBankVXL[Bank],$N31-1+Q$10),"")</f>
        <v>Payment</v>
      </c>
      <c r="R31" s="79" t="str" cm="1">
        <f t="array" aca="1" ref="R31" ca="1">IFERROR(INDEX(dtbBankVXL[Bank],$N31-1+R$10),"")</f>
        <v>Hamilton Chinese Dan</v>
      </c>
      <c r="S31" s="79" t="str" cm="1">
        <f t="array" aca="1" ref="S31" ca="1">IF(ISNA(dtbOutVXL[[#This Row],[IsFiveRows]]),"",IF(dtbOutVXL[[#This Row],[IsFiveRows]],"",_xlfn.IFNA(INDEX(dtbBankVXL[Bank],$N31-1+S$10),"")))</f>
        <v>Cherryfestiv dancestud</v>
      </c>
      <c r="T31" s="78" cm="1">
        <f t="array" aca="1" ref="T31" ca="1">IFERROR(INDEX(dtbBankVXL[Bank],$N31-1+T$10+IF(dtbOutVXL[[#This Row],[IsFiveRows]],-1,0)),"")</f>
        <v>240</v>
      </c>
      <c r="U31" s="78" cm="1">
        <f t="array" aca="1" ref="U31" ca="1">IFERROR(INDEX(dtbBankVXL[Bank],$N31-1+U$10+IF(dtbOutVXL[[#This Row],[IsFiveRows]],-1,0)),"")</f>
        <v>24295.25</v>
      </c>
      <c r="V31" s="78"/>
    </row>
    <row r="32" spans="8:22" x14ac:dyDescent="0.25">
      <c r="H32" t="b">
        <f t="shared" ca="1" si="0"/>
        <v>0</v>
      </c>
      <c r="I32">
        <f ca="1">COUNT(J$14:J32)</f>
        <v>4</v>
      </c>
      <c r="J32" cm="1">
        <f t="array" aca="1" ref="J32" ca="1">IF(CELL("format",dtbBankVXL[[#This Row],[Bank]])="D1",ROW(dtbBankVXL[[#This Row],[Bank]])-ROW(dtbBankVXL[[#Headers],[Bank]]),"")</f>
        <v>18</v>
      </c>
      <c r="K32" s="40">
        <v>45272</v>
      </c>
      <c r="L32" s="38"/>
      <c r="M32" s="84">
        <f>ROW(dtbOutVXL[[#This Row],[TranDate]])-ROW(dtbOutVXL[[#Headers],[RowIndex]])</f>
        <v>18</v>
      </c>
      <c r="N32" s="84">
        <f ca="1">INDEX(dtbBankVXL[RowIndex],MATCH(dtbOutVXL[[#This Row],[RowIndex]],dtbBankVXL[Count],0))</f>
        <v>101</v>
      </c>
      <c r="O32" s="84" t="b">
        <f ca="1">INDEX(dtbBankVXL[FiveRower],MATCH(dtbOutVXL[[#This Row],[RowIndex]],dtbBankVXL[Count],0))</f>
        <v>0</v>
      </c>
      <c r="P32" s="79">
        <f ca="1">IFERROR(INDEX(dtbBankVXL[Bank],dtbOutVXL[[#This Row],[SourceIndex]]-1+P$10),"")</f>
        <v>45236</v>
      </c>
      <c r="Q32" s="79" t="str" cm="1">
        <f t="array" aca="1" ref="Q32" ca="1">IFERROR(INDEX(dtbBankVXL[Bank],$N32-1+Q$10),"")</f>
        <v>Payment</v>
      </c>
      <c r="R32" s="79" t="str" cm="1">
        <f t="array" aca="1" ref="R32" ca="1">IFERROR(INDEX(dtbBankVXL[Bank],$N32-1+R$10),"")</f>
        <v>Compound Dance</v>
      </c>
      <c r="S32" s="79" t="str" cm="1">
        <f t="array" aca="1" ref="S32" ca="1">IF(ISNA(dtbOutVXL[[#This Row],[IsFiveRows]]),"",IF(dtbOutVXL[[#This Row],[IsFiveRows]],"",_xlfn.IFNA(INDEX(dtbBankVXL[Bank],$N32-1+S$10),"")))</f>
        <v>Cherryfestiv Com Dan</v>
      </c>
      <c r="T32" s="78" cm="1">
        <f t="array" aca="1" ref="T32" ca="1">IFERROR(INDEX(dtbBankVXL[Bank],$N32-1+T$10+IF(dtbOutVXL[[#This Row],[IsFiveRows]],-1,0)),"")</f>
        <v>200</v>
      </c>
      <c r="U32" s="78" cm="1">
        <f t="array" aca="1" ref="U32" ca="1">IFERROR(INDEX(dtbBankVXL[Bank],$N32-1+U$10+IF(dtbOutVXL[[#This Row],[IsFiveRows]],-1,0)),"")</f>
        <v>24535.25</v>
      </c>
      <c r="V32" s="78"/>
    </row>
    <row r="33" spans="8:22" x14ac:dyDescent="0.25">
      <c r="H33" t="str">
        <f t="shared" ref="H33:H96" ca="1" si="1">IF(N(J33)&gt;0,SUM(J34:J38)-J33=5,"")</f>
        <v/>
      </c>
      <c r="I33">
        <f ca="1">COUNT(J$14:J33)</f>
        <v>4</v>
      </c>
      <c r="J33" t="str" cm="1">
        <f t="array" aca="1" ref="J33" ca="1">IF(CELL("format",dtbBankVXL[[#This Row],[Bank]])="D1",ROW(dtbBankVXL[[#This Row],[Bank]])-ROW(dtbBankVXL[[#Headers],[Bank]]),"")</f>
        <v/>
      </c>
      <c r="K33" s="38" t="s">
        <v>39</v>
      </c>
      <c r="L33" s="38"/>
      <c r="M33" s="84">
        <f>ROW(dtbOutVXL[[#This Row],[TranDate]])-ROW(dtbOutVXL[[#Headers],[RowIndex]])</f>
        <v>19</v>
      </c>
      <c r="N33" s="84">
        <f ca="1">INDEX(dtbBankVXL[RowIndex],MATCH(dtbOutVXL[[#This Row],[RowIndex]],dtbBankVXL[Count],0))</f>
        <v>107</v>
      </c>
      <c r="O33" s="84" t="b">
        <f ca="1">INDEX(dtbBankVXL[FiveRower],MATCH(dtbOutVXL[[#This Row],[RowIndex]],dtbBankVXL[Count],0))</f>
        <v>0</v>
      </c>
      <c r="P33" s="79">
        <f ca="1">IFERROR(INDEX(dtbBankVXL[Bank],dtbOutVXL[[#This Row],[SourceIndex]]-1+P$10),"")</f>
        <v>45236</v>
      </c>
      <c r="Q33" s="79" t="str" cm="1">
        <f t="array" aca="1" ref="Q33" ca="1">IFERROR(INDEX(dtbBankVXL[Bank],$N33-1+Q$10),"")</f>
        <v>Payment</v>
      </c>
      <c r="R33" s="79" t="str" cm="1">
        <f t="array" aca="1" ref="R33" ca="1">IFERROR(INDEX(dtbBankVXL[Bank],$N33-1+R$10),"")</f>
        <v>Sue So</v>
      </c>
      <c r="S33" s="79" t="str" cm="1">
        <f t="array" aca="1" ref="S33" ca="1">IF(ISNA(dtbOutVXL[[#This Row],[IsFiveRows]]),"",IF(dtbOutVXL[[#This Row],[IsFiveRows]],"",_xlfn.IFNA(INDEX(dtbBankVXL[Bank],$N33-1+S$10),"")))</f>
        <v>Cherryfestiv Al Ping Pong</v>
      </c>
      <c r="T33" s="78" cm="1">
        <f t="array" aca="1" ref="T33" ca="1">IFERROR(INDEX(dtbBankVXL[Bank],$N33-1+T$10+IF(dtbOutVXL[[#This Row],[IsFiveRows]],-1,0)),"")</f>
        <v>200</v>
      </c>
      <c r="U33" s="78" cm="1">
        <f t="array" aca="1" ref="U33" ca="1">IFERROR(INDEX(dtbBankVXL[Bank],$N33-1+U$10+IF(dtbOutVXL[[#This Row],[IsFiveRows]],-1,0)),"")</f>
        <v>24735.25</v>
      </c>
      <c r="V33" s="78"/>
    </row>
    <row r="34" spans="8:22" x14ac:dyDescent="0.25">
      <c r="H34" t="str">
        <f t="shared" ca="1" si="1"/>
        <v/>
      </c>
      <c r="I34">
        <f ca="1">COUNT(J$14:J34)</f>
        <v>4</v>
      </c>
      <c r="J34" t="str" cm="1">
        <f t="array" aca="1" ref="J34" ca="1">IF(CELL("format",dtbBankVXL[[#This Row],[Bank]])="D1",ROW(dtbBankVXL[[#This Row],[Bank]])-ROW(dtbBankVXL[[#Headers],[Bank]]),"")</f>
        <v/>
      </c>
      <c r="K34" s="38" t="s">
        <v>75</v>
      </c>
      <c r="L34" s="38"/>
      <c r="M34" s="84">
        <f>ROW(dtbOutVXL[[#This Row],[TranDate]])-ROW(dtbOutVXL[[#Headers],[RowIndex]])</f>
        <v>20</v>
      </c>
      <c r="N34" s="84">
        <f ca="1">INDEX(dtbBankVXL[RowIndex],MATCH(dtbOutVXL[[#This Row],[RowIndex]],dtbBankVXL[Count],0))</f>
        <v>113</v>
      </c>
      <c r="O34" s="84" t="b">
        <f ca="1">INDEX(dtbBankVXL[FiveRower],MATCH(dtbOutVXL[[#This Row],[RowIndex]],dtbBankVXL[Count],0))</f>
        <v>0</v>
      </c>
      <c r="P34" s="79">
        <f ca="1">IFERROR(INDEX(dtbBankVXL[Bank],dtbOutVXL[[#This Row],[SourceIndex]]-1+P$10),"")</f>
        <v>45236</v>
      </c>
      <c r="Q34" s="79" t="str" cm="1">
        <f t="array" aca="1" ref="Q34" ca="1">IFERROR(INDEX(dtbBankVXL[Bank],$N34-1+Q$10),"")</f>
        <v>Payment</v>
      </c>
      <c r="R34" s="79" t="str" cm="1">
        <f t="array" aca="1" ref="R34" ca="1">IFERROR(INDEX(dtbBankVXL[Bank],$N34-1+R$10),"")</f>
        <v>The Sound Of Music</v>
      </c>
      <c r="S34" s="79" t="str" cm="1">
        <f t="array" aca="1" ref="S34" ca="1">IF(ISNA(dtbOutVXL[[#This Row],[IsFiveRows]]),"",IF(dtbOutVXL[[#This Row],[IsFiveRows]],"",_xlfn.IFNA(INDEX(dtbBankVXL[Bank],$N34-1+S$10),"")))</f>
        <v xml:space="preserve">Cheryfestiva Lthe Sound O </v>
      </c>
      <c r="T34" s="78" cm="1">
        <f t="array" aca="1" ref="T34" ca="1">IFERROR(INDEX(dtbBankVXL[Bank],$N34-1+T$10+IF(dtbOutVXL[[#This Row],[IsFiveRows]],-1,0)),"")</f>
        <v>200</v>
      </c>
      <c r="U34" s="78" cm="1">
        <f t="array" aca="1" ref="U34" ca="1">IFERROR(INDEX(dtbBankVXL[Bank],$N34-1+U$10+IF(dtbOutVXL[[#This Row],[IsFiveRows]],-1,0)),"")</f>
        <v>24935.25</v>
      </c>
      <c r="V34" s="78"/>
    </row>
    <row r="35" spans="8:22" x14ac:dyDescent="0.25">
      <c r="H35" t="str">
        <f t="shared" ca="1" si="1"/>
        <v/>
      </c>
      <c r="I35">
        <f ca="1">COUNT(J$14:J35)</f>
        <v>4</v>
      </c>
      <c r="J35" t="str" cm="1">
        <f t="array" aca="1" ref="J35" ca="1">IF(CELL("format",dtbBankVXL[[#This Row],[Bank]])="D1",ROW(dtbBankVXL[[#This Row],[Bank]])-ROW(dtbBankVXL[[#Headers],[Bank]]),"")</f>
        <v/>
      </c>
      <c r="K35" s="38" t="s">
        <v>74</v>
      </c>
      <c r="L35" s="38"/>
      <c r="M35" s="84">
        <f>ROW(dtbOutVXL[[#This Row],[TranDate]])-ROW(dtbOutVXL[[#Headers],[RowIndex]])</f>
        <v>21</v>
      </c>
      <c r="N35" s="84">
        <f ca="1">INDEX(dtbBankVXL[RowIndex],MATCH(dtbOutVXL[[#This Row],[RowIndex]],dtbBankVXL[Count],0))</f>
        <v>119</v>
      </c>
      <c r="O35" s="84" t="b">
        <f ca="1">INDEX(dtbBankVXL[FiveRower],MATCH(dtbOutVXL[[#This Row],[RowIndex]],dtbBankVXL[Count],0))</f>
        <v>0</v>
      </c>
      <c r="P35" s="79">
        <f ca="1">IFERROR(INDEX(dtbBankVXL[Bank],dtbOutVXL[[#This Row],[SourceIndex]]-1+P$10),"")</f>
        <v>45233</v>
      </c>
      <c r="Q35" s="79" t="str" cm="1">
        <f t="array" aca="1" ref="Q35" ca="1">IFERROR(INDEX(dtbBankVXL[Bank],$N35-1+Q$10),"")</f>
        <v>Payment</v>
      </c>
      <c r="R35" s="79" t="str" cm="1">
        <f t="array" aca="1" ref="R35" ca="1">IFERROR(INDEX(dtbBankVXL[Bank],$N35-1+R$10),"")</f>
        <v>Aldo Lib</v>
      </c>
      <c r="S35" s="79" t="str" cm="1">
        <f t="array" aca="1" ref="S35" ca="1">IF(ISNA(dtbOutVXL[[#This Row],[IsFiveRows]]),"",IF(dtbOutVXL[[#This Row],[IsFiveRows]],"",_xlfn.IFNA(INDEX(dtbBankVXL[Bank],$N35-1+S$10),"")))</f>
        <v>Cherryfestia L Erhu Yu</v>
      </c>
      <c r="T35" s="78" cm="1">
        <f t="array" aca="1" ref="T35" ca="1">IFERROR(INDEX(dtbBankVXL[Bank],$N35-1+T$10+IF(dtbOutVXL[[#This Row],[IsFiveRows]],-1,0)),"")</f>
        <v>200</v>
      </c>
      <c r="U35" s="78" cm="1">
        <f t="array" aca="1" ref="U35" ca="1">IFERROR(INDEX(dtbBankVXL[Bank],$N35-1+U$10+IF(dtbOutVXL[[#This Row],[IsFiveRows]],-1,0)),"")</f>
        <v>25135.25</v>
      </c>
      <c r="V35" s="78"/>
    </row>
    <row r="36" spans="8:22" x14ac:dyDescent="0.25">
      <c r="H36" t="str">
        <f t="shared" ca="1" si="1"/>
        <v/>
      </c>
      <c r="I36">
        <f ca="1">COUNT(J$14:J36)</f>
        <v>4</v>
      </c>
      <c r="J36" t="str" cm="1">
        <f t="array" aca="1" ref="J36" ca="1">IF(CELL("format",dtbBankVXL[[#This Row],[Bank]])="D1",ROW(dtbBankVXL[[#This Row],[Bank]])-ROW(dtbBankVXL[[#Headers],[Bank]]),"")</f>
        <v/>
      </c>
      <c r="K36" s="39">
        <v>253.24</v>
      </c>
      <c r="L36" s="38"/>
      <c r="M36" s="84">
        <f>ROW(dtbOutVXL[[#This Row],[TranDate]])-ROW(dtbOutVXL[[#Headers],[RowIndex]])</f>
        <v>22</v>
      </c>
      <c r="N36" s="84">
        <f ca="1">INDEX(dtbBankVXL[RowIndex],MATCH(dtbOutVXL[[#This Row],[RowIndex]],dtbBankVXL[Count],0))</f>
        <v>125</v>
      </c>
      <c r="O36" s="84" t="b">
        <f ca="1">INDEX(dtbBankVXL[FiveRower],MATCH(dtbOutVXL[[#This Row],[RowIndex]],dtbBankVXL[Count],0))</f>
        <v>0</v>
      </c>
      <c r="P36" s="79">
        <f ca="1">IFERROR(INDEX(dtbBankVXL[Bank],dtbOutVXL[[#This Row],[SourceIndex]]-1+P$10),"")</f>
        <v>45233</v>
      </c>
      <c r="Q36" s="79" t="str" cm="1">
        <f t="array" aca="1" ref="Q36" ca="1">IFERROR(INDEX(dtbBankVXL[Bank],$N36-1+Q$10),"")</f>
        <v>Payment</v>
      </c>
      <c r="R36" s="79" t="str" cm="1">
        <f t="array" aca="1" ref="R36" ca="1">IFERROR(INDEX(dtbBankVXL[Bank],$N36-1+R$10),"")</f>
        <v>Ding Dong</v>
      </c>
      <c r="S36" s="79" t="str" cm="1">
        <f t="array" aca="1" ref="S36" ca="1">IF(ISNA(dtbOutVXL[[#This Row],[IsFiveRows]]),"",IF(dtbOutVXL[[#This Row],[IsFiveRows]],"",_xlfn.IFNA(INDEX(dtbBankVXL[Bank],$N36-1+S$10),"")))</f>
        <v>Cherryblosso Ad Lib</v>
      </c>
      <c r="T36" s="78" cm="1">
        <f t="array" aca="1" ref="T36" ca="1">IFERROR(INDEX(dtbBankVXL[Bank],$N36-1+T$10+IF(dtbOutVXL[[#This Row],[IsFiveRows]],-1,0)),"")</f>
        <v>100</v>
      </c>
      <c r="U36" s="78" cm="1">
        <f t="array" aca="1" ref="U36" ca="1">IFERROR(INDEX(dtbBankVXL[Bank],$N36-1+U$10+IF(dtbOutVXL[[#This Row],[IsFiveRows]],-1,0)),"")</f>
        <v>25335.25</v>
      </c>
      <c r="V36" s="78"/>
    </row>
    <row r="37" spans="8:22" x14ac:dyDescent="0.25">
      <c r="H37" t="str">
        <f t="shared" ca="1" si="1"/>
        <v/>
      </c>
      <c r="I37">
        <f ca="1">COUNT(J$14:J37)</f>
        <v>4</v>
      </c>
      <c r="J37" t="str" cm="1">
        <f t="array" aca="1" ref="J37" ca="1">IF(CELL("format",dtbBankVXL[[#This Row],[Bank]])="D1",ROW(dtbBankVXL[[#This Row],[Bank]])-ROW(dtbBankVXL[[#Headers],[Bank]]),"")</f>
        <v/>
      </c>
      <c r="K37" s="39">
        <v>12108.85</v>
      </c>
      <c r="L37" s="38"/>
      <c r="M37" s="84">
        <f>ROW(dtbOutVXL[[#This Row],[TranDate]])-ROW(dtbOutVXL[[#Headers],[RowIndex]])</f>
        <v>23</v>
      </c>
      <c r="N37" s="84">
        <f ca="1">INDEX(dtbBankVXL[RowIndex],MATCH(dtbOutVXL[[#This Row],[RowIndex]],dtbBankVXL[Count],0))</f>
        <v>131</v>
      </c>
      <c r="O37" s="84" t="b">
        <f ca="1">INDEX(dtbBankVXL[FiveRower],MATCH(dtbOutVXL[[#This Row],[RowIndex]],dtbBankVXL[Count],0))</f>
        <v>0</v>
      </c>
      <c r="P37" s="81">
        <f ca="1">IFERROR(INDEX(dtbBankVXL[Bank],dtbOutVXL[[#This Row],[SourceIndex]]-1+P$10),"")</f>
        <v>45231</v>
      </c>
      <c r="Q37" s="81" t="str" cm="1">
        <f t="array" aca="1" ref="Q37" ca="1">IFERROR(INDEX(dtbBankVXL[Bank],$N37-1+Q$10),"")</f>
        <v>Payment</v>
      </c>
      <c r="R37" s="81" t="str" cm="1">
        <f t="array" aca="1" ref="R37" ca="1">IFERROR(INDEX(dtbBankVXL[Bank],$N37-1+R$10),"")</f>
        <v>P S refund</v>
      </c>
      <c r="S37" s="92" t="str" cm="1">
        <f t="array" aca="1" ref="S37" ca="1">IF(ISNA(dtbOutVXL[[#This Row],[IsFiveRows]]),"",IF(dtbOutVXL[[#This Row],[IsFiveRows]],"",_xlfn.IFNA(INDEX(dtbBankVXL[Bank],$N37-1+S$10),"")))</f>
        <v>Refund Of Overpay</v>
      </c>
      <c r="T37" s="78" cm="1">
        <f t="array" aca="1" ref="T37" ca="1">IFERROR(INDEX(dtbBankVXL[Bank],$N37-1+T$10+IF(dtbOutVXL[[#This Row],[IsFiveRows]],-1,0)),"")</f>
        <v>20</v>
      </c>
      <c r="U37" s="78" cm="1">
        <f t="array" aca="1" ref="U37" ca="1">IFERROR(INDEX(dtbBankVXL[Bank],$N37-1+U$10+IF(dtbOutVXL[[#This Row],[IsFiveRows]],-1,0)),"")</f>
        <v>25435.25</v>
      </c>
      <c r="V37" s="78"/>
    </row>
    <row r="38" spans="8:22" x14ac:dyDescent="0.25">
      <c r="H38" t="b">
        <f t="shared" ca="1" si="1"/>
        <v>0</v>
      </c>
      <c r="I38">
        <f ca="1">COUNT(J$14:J38)</f>
        <v>5</v>
      </c>
      <c r="J38" cm="1">
        <f t="array" aca="1" ref="J38" ca="1">IF(CELL("format",dtbBankVXL[[#This Row],[Bank]])="D1",ROW(dtbBankVXL[[#This Row],[Bank]])-ROW(dtbBankVXL[[#Headers],[Bank]]),"")</f>
        <v>24</v>
      </c>
      <c r="K38" s="40">
        <v>45268</v>
      </c>
      <c r="L38" s="38"/>
      <c r="M38" s="84"/>
      <c r="N38" s="84"/>
      <c r="O38" s="84"/>
      <c r="P38" s="79"/>
      <c r="Q38" s="79"/>
      <c r="R38" s="79"/>
      <c r="S38" s="79"/>
      <c r="T38" s="78"/>
      <c r="U38" s="78"/>
      <c r="V38" s="78"/>
    </row>
    <row r="39" spans="8:22" x14ac:dyDescent="0.25">
      <c r="H39" t="str">
        <f t="shared" ca="1" si="1"/>
        <v/>
      </c>
      <c r="I39">
        <f ca="1">COUNT(J$14:J39)</f>
        <v>5</v>
      </c>
      <c r="J39" t="str" cm="1">
        <f t="array" aca="1" ref="J39" ca="1">IF(CELL("format",dtbBankVXL[[#This Row],[Bank]])="D1",ROW(dtbBankVXL[[#This Row],[Bank]])-ROW(dtbBankVXL[[#Headers],[Bank]]),"")</f>
        <v/>
      </c>
      <c r="K39" s="38" t="s">
        <v>62</v>
      </c>
      <c r="L39" s="38"/>
      <c r="M39" s="84"/>
      <c r="N39" s="84"/>
      <c r="O39" s="84"/>
      <c r="P39" s="79"/>
      <c r="Q39" s="79"/>
      <c r="R39" s="79"/>
      <c r="S39" s="79"/>
      <c r="T39" s="78"/>
      <c r="U39" s="78"/>
      <c r="V39" s="78"/>
    </row>
    <row r="40" spans="8:22" x14ac:dyDescent="0.25">
      <c r="H40" t="str">
        <f t="shared" ca="1" si="1"/>
        <v/>
      </c>
      <c r="I40">
        <f ca="1">COUNT(J$14:J40)</f>
        <v>5</v>
      </c>
      <c r="J40" t="str" cm="1">
        <f t="array" aca="1" ref="J40" ca="1">IF(CELL("format",dtbBankVXL[[#This Row],[Bank]])="D1",ROW(dtbBankVXL[[#This Row],[Bank]])-ROW(dtbBankVXL[[#Headers],[Bank]]),"")</f>
        <v/>
      </c>
      <c r="K40" s="38" t="s">
        <v>61</v>
      </c>
      <c r="L40" s="38"/>
      <c r="M40" s="84"/>
      <c r="N40" s="84"/>
      <c r="O40" s="84"/>
      <c r="P40" s="79"/>
      <c r="Q40" s="79"/>
      <c r="R40" s="79"/>
      <c r="S40" s="79"/>
      <c r="T40" s="78"/>
      <c r="U40" s="78"/>
      <c r="V40" s="78"/>
    </row>
    <row r="41" spans="8:22" x14ac:dyDescent="0.25">
      <c r="H41" t="str">
        <f t="shared" ca="1" si="1"/>
        <v/>
      </c>
      <c r="I41">
        <f ca="1">COUNT(J$14:J41)</f>
        <v>5</v>
      </c>
      <c r="J41" t="str" cm="1">
        <f t="array" aca="1" ref="J41" ca="1">IF(CELL("format",dtbBankVXL[[#This Row],[Bank]])="D1",ROW(dtbBankVXL[[#This Row],[Bank]])-ROW(dtbBankVXL[[#Headers],[Bank]]),"")</f>
        <v/>
      </c>
      <c r="K41" s="38" t="s">
        <v>73</v>
      </c>
      <c r="L41" s="38"/>
      <c r="M41" s="84"/>
      <c r="N41" s="84"/>
      <c r="O41" s="84"/>
      <c r="P41" s="79"/>
      <c r="T41" s="78"/>
      <c r="U41" s="78"/>
      <c r="V41" s="78"/>
    </row>
    <row r="42" spans="8:22" x14ac:dyDescent="0.25">
      <c r="H42" t="str">
        <f t="shared" ca="1" si="1"/>
        <v/>
      </c>
      <c r="I42">
        <f ca="1">COUNT(J$14:J42)</f>
        <v>5</v>
      </c>
      <c r="J42" t="str" cm="1">
        <f t="array" aca="1" ref="J42" ca="1">IF(CELL("format",dtbBankVXL[[#This Row],[Bank]])="D1",ROW(dtbBankVXL[[#This Row],[Bank]])-ROW(dtbBankVXL[[#Headers],[Bank]]),"")</f>
        <v/>
      </c>
      <c r="K42" s="39">
        <v>-191.34</v>
      </c>
      <c r="L42" s="38"/>
      <c r="M42" s="84"/>
      <c r="N42" s="84"/>
      <c r="O42" s="84"/>
      <c r="P42" s="79"/>
      <c r="T42" s="78"/>
      <c r="U42" s="78"/>
      <c r="V42" s="78"/>
    </row>
    <row r="43" spans="8:22" x14ac:dyDescent="0.25">
      <c r="H43" t="str">
        <f t="shared" ca="1" si="1"/>
        <v/>
      </c>
      <c r="I43">
        <f ca="1">COUNT(J$14:J43)</f>
        <v>5</v>
      </c>
      <c r="J43" t="str" cm="1">
        <f t="array" aca="1" ref="J43" ca="1">IF(CELL("format",dtbBankVXL[[#This Row],[Bank]])="D1",ROW(dtbBankVXL[[#This Row],[Bank]])-ROW(dtbBankVXL[[#Headers],[Bank]]),"")</f>
        <v/>
      </c>
      <c r="K43" s="39">
        <v>12362.09</v>
      </c>
      <c r="L43" s="38"/>
      <c r="M43" s="84"/>
      <c r="N43" s="84"/>
      <c r="O43" s="84"/>
      <c r="P43" s="79"/>
      <c r="T43" s="78"/>
      <c r="U43" s="78"/>
      <c r="V43" s="78"/>
    </row>
    <row r="44" spans="8:22" x14ac:dyDescent="0.25">
      <c r="H44" t="b">
        <f t="shared" ca="1" si="1"/>
        <v>0</v>
      </c>
      <c r="I44">
        <f ca="1">COUNT(J$14:J44)</f>
        <v>6</v>
      </c>
      <c r="J44" cm="1">
        <f t="array" aca="1" ref="J44" ca="1">IF(CELL("format",dtbBankVXL[[#This Row],[Bank]])="D1",ROW(dtbBankVXL[[#This Row],[Bank]])-ROW(dtbBankVXL[[#Headers],[Bank]]),"")</f>
        <v>30</v>
      </c>
      <c r="K44" s="40">
        <v>45267</v>
      </c>
      <c r="L44" s="38"/>
      <c r="M44" s="84"/>
      <c r="N44" s="84"/>
      <c r="O44" s="84"/>
      <c r="P44" s="79"/>
      <c r="T44" s="78"/>
      <c r="U44" s="78"/>
      <c r="V44" s="78"/>
    </row>
    <row r="45" spans="8:22" x14ac:dyDescent="0.25">
      <c r="H45" t="str">
        <f t="shared" ca="1" si="1"/>
        <v/>
      </c>
      <c r="I45">
        <f ca="1">COUNT(J$14:J45)</f>
        <v>6</v>
      </c>
      <c r="J45" t="str" cm="1">
        <f t="array" aca="1" ref="J45" ca="1">IF(CELL("format",dtbBankVXL[[#This Row],[Bank]])="D1",ROW(dtbBankVXL[[#This Row],[Bank]])-ROW(dtbBankVXL[[#Headers],[Bank]]),"")</f>
        <v/>
      </c>
      <c r="K45" s="38" t="s">
        <v>39</v>
      </c>
      <c r="L45" s="38"/>
      <c r="M45" s="84"/>
      <c r="N45" s="84"/>
      <c r="O45" s="84"/>
      <c r="P45" s="79"/>
      <c r="T45" s="78"/>
      <c r="U45" s="78"/>
      <c r="V45" s="78"/>
    </row>
    <row r="46" spans="8:22" x14ac:dyDescent="0.25">
      <c r="H46" t="str">
        <f t="shared" ca="1" si="1"/>
        <v/>
      </c>
      <c r="I46">
        <f ca="1">COUNT(J$14:J46)</f>
        <v>6</v>
      </c>
      <c r="J46" t="str" cm="1">
        <f t="array" aca="1" ref="J46" ca="1">IF(CELL("format",dtbBankVXL[[#This Row],[Bank]])="D1",ROW(dtbBankVXL[[#This Row],[Bank]])-ROW(dtbBankVXL[[#Headers],[Bank]]),"")</f>
        <v/>
      </c>
      <c r="K46" s="38" t="s">
        <v>72</v>
      </c>
      <c r="L46" s="38"/>
      <c r="M46" s="84"/>
      <c r="N46" s="84"/>
      <c r="O46" s="84"/>
      <c r="P46" s="79"/>
      <c r="T46" s="78"/>
      <c r="U46" s="78"/>
      <c r="V46" s="78"/>
    </row>
    <row r="47" spans="8:22" x14ac:dyDescent="0.25">
      <c r="H47" t="str">
        <f t="shared" ca="1" si="1"/>
        <v/>
      </c>
      <c r="I47">
        <f ca="1">COUNT(J$14:J47)</f>
        <v>6</v>
      </c>
      <c r="J47" t="str" cm="1">
        <f t="array" aca="1" ref="J47" ca="1">IF(CELL("format",dtbBankVXL[[#This Row],[Bank]])="D1",ROW(dtbBankVXL[[#This Row],[Bank]])-ROW(dtbBankVXL[[#Headers],[Bank]]),"")</f>
        <v/>
      </c>
      <c r="K47" s="38" t="s">
        <v>71</v>
      </c>
      <c r="L47" s="38"/>
      <c r="M47" s="84"/>
      <c r="N47" s="84"/>
      <c r="O47" s="84"/>
      <c r="P47" s="81"/>
      <c r="Q47" s="38"/>
      <c r="R47" s="38"/>
      <c r="S47" s="85"/>
      <c r="T47" s="83"/>
      <c r="U47" s="78"/>
      <c r="V47" s="78"/>
    </row>
    <row r="48" spans="8:22" x14ac:dyDescent="0.25">
      <c r="H48" t="str">
        <f t="shared" ca="1" si="1"/>
        <v/>
      </c>
      <c r="I48">
        <f ca="1">COUNT(J$14:J48)</f>
        <v>6</v>
      </c>
      <c r="J48" t="str" cm="1">
        <f t="array" aca="1" ref="J48" ca="1">IF(CELL("format",dtbBankVXL[[#This Row],[Bank]])="D1",ROW(dtbBankVXL[[#This Row],[Bank]])-ROW(dtbBankVXL[[#Headers],[Bank]]),"")</f>
        <v/>
      </c>
      <c r="K48" s="39">
        <v>250</v>
      </c>
      <c r="L48" s="38"/>
      <c r="M48" s="38"/>
      <c r="N48" s="38"/>
      <c r="O48" s="38"/>
      <c r="P48" s="38"/>
      <c r="Q48" s="38"/>
      <c r="R48" s="38"/>
      <c r="S48" s="38"/>
      <c r="T48" s="38"/>
      <c r="U48" s="38"/>
    </row>
    <row r="49" spans="8:21" x14ac:dyDescent="0.25">
      <c r="H49" t="str">
        <f t="shared" ca="1" si="1"/>
        <v/>
      </c>
      <c r="I49">
        <f ca="1">COUNT(J$14:J49)</f>
        <v>6</v>
      </c>
      <c r="J49" t="str" cm="1">
        <f t="array" aca="1" ref="J49" ca="1">IF(CELL("format",dtbBankVXL[[#This Row],[Bank]])="D1",ROW(dtbBankVXL[[#This Row],[Bank]])-ROW(dtbBankVXL[[#Headers],[Bank]]),"")</f>
        <v/>
      </c>
      <c r="K49" s="39">
        <v>12170.75</v>
      </c>
      <c r="L49" s="38"/>
      <c r="M49" s="38"/>
      <c r="N49" s="38"/>
      <c r="O49" s="38"/>
      <c r="P49" s="38"/>
      <c r="Q49" s="38"/>
      <c r="R49" s="38"/>
      <c r="S49" s="38"/>
      <c r="T49" s="38"/>
      <c r="U49" s="38"/>
    </row>
    <row r="50" spans="8:21" x14ac:dyDescent="0.25">
      <c r="H50" t="b">
        <f t="shared" ca="1" si="1"/>
        <v>0</v>
      </c>
      <c r="I50">
        <f ca="1">COUNT(J$14:J50)</f>
        <v>7</v>
      </c>
      <c r="J50" cm="1">
        <f t="array" aca="1" ref="J50" ca="1">IF(CELL("format",dtbBankVXL[[#This Row],[Bank]])="D1",ROW(dtbBankVXL[[#This Row],[Bank]])-ROW(dtbBankVXL[[#Headers],[Bank]]),"")</f>
        <v>36</v>
      </c>
      <c r="K50" s="40">
        <v>45261</v>
      </c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8:21" x14ac:dyDescent="0.25">
      <c r="H51" t="str">
        <f t="shared" ca="1" si="1"/>
        <v/>
      </c>
      <c r="I51">
        <f ca="1">COUNT(J$14:J51)</f>
        <v>7</v>
      </c>
      <c r="J51" t="str" cm="1">
        <f t="array" aca="1" ref="J51" ca="1">IF(CELL("format",dtbBankVXL[[#This Row],[Bank]])="D1",ROW(dtbBankVXL[[#This Row],[Bank]])-ROW(dtbBankVXL[[#Headers],[Bank]]),"")</f>
        <v/>
      </c>
      <c r="K51" s="38" t="s">
        <v>62</v>
      </c>
      <c r="L51" s="38"/>
      <c r="M51" s="38"/>
      <c r="N51" s="38"/>
      <c r="O51" s="38"/>
      <c r="P51" s="38"/>
      <c r="Q51" s="38"/>
      <c r="R51" s="38"/>
      <c r="S51" s="38"/>
      <c r="T51" s="38"/>
      <c r="U51" s="38"/>
    </row>
    <row r="52" spans="8:21" x14ac:dyDescent="0.25">
      <c r="H52" t="str">
        <f t="shared" ca="1" si="1"/>
        <v/>
      </c>
      <c r="I52">
        <f ca="1">COUNT(J$14:J52)</f>
        <v>7</v>
      </c>
      <c r="J52" t="str" cm="1">
        <f t="array" aca="1" ref="J52" ca="1">IF(CELL("format",dtbBankVXL[[#This Row],[Bank]])="D1",ROW(dtbBankVXL[[#This Row],[Bank]])-ROW(dtbBankVXL[[#Headers],[Bank]]),"")</f>
        <v/>
      </c>
      <c r="K52" s="38" t="s">
        <v>61</v>
      </c>
      <c r="L52" s="38"/>
      <c r="M52" s="38"/>
      <c r="N52" s="38"/>
      <c r="O52" s="38"/>
      <c r="P52" s="38"/>
      <c r="Q52" s="38"/>
      <c r="R52" s="38"/>
      <c r="S52" s="38"/>
      <c r="T52" s="38"/>
      <c r="U52" s="38"/>
    </row>
    <row r="53" spans="8:21" x14ac:dyDescent="0.25">
      <c r="H53" t="str">
        <f t="shared" ca="1" si="1"/>
        <v/>
      </c>
      <c r="I53">
        <f ca="1">COUNT(J$14:J53)</f>
        <v>7</v>
      </c>
      <c r="J53" t="str" cm="1">
        <f t="array" aca="1" ref="J53" ca="1">IF(CELL("format",dtbBankVXL[[#This Row],[Bank]])="D1",ROW(dtbBankVXL[[#This Row],[Bank]])-ROW(dtbBankVXL[[#Headers],[Bank]]),"")</f>
        <v/>
      </c>
      <c r="K53" s="38" t="s">
        <v>70</v>
      </c>
      <c r="L53" s="38"/>
      <c r="M53" s="38"/>
      <c r="N53" s="38"/>
      <c r="O53" s="38"/>
      <c r="P53" s="38"/>
      <c r="Q53" s="38"/>
      <c r="R53" s="38"/>
      <c r="S53" s="38"/>
      <c r="T53" s="38"/>
      <c r="U53" s="38"/>
    </row>
    <row r="54" spans="8:21" x14ac:dyDescent="0.25">
      <c r="H54" t="str">
        <f t="shared" ca="1" si="1"/>
        <v/>
      </c>
      <c r="I54">
        <f ca="1">COUNT(J$14:J54)</f>
        <v>7</v>
      </c>
      <c r="J54" t="str" cm="1">
        <f t="array" aca="1" ref="J54" ca="1">IF(CELL("format",dtbBankVXL[[#This Row],[Bank]])="D1",ROW(dtbBankVXL[[#This Row],[Bank]])-ROW(dtbBankVXL[[#Headers],[Bank]]),"")</f>
        <v/>
      </c>
      <c r="K54" s="39">
        <v>-28.59</v>
      </c>
      <c r="L54" s="38"/>
      <c r="M54" s="38"/>
      <c r="N54" s="38"/>
      <c r="O54" s="38"/>
      <c r="P54" s="38"/>
      <c r="Q54" s="38"/>
      <c r="R54" s="38"/>
      <c r="S54" s="38"/>
      <c r="T54" s="38"/>
      <c r="U54" s="38"/>
    </row>
    <row r="55" spans="8:21" x14ac:dyDescent="0.25">
      <c r="H55" t="str">
        <f t="shared" ca="1" si="1"/>
        <v/>
      </c>
      <c r="I55">
        <f ca="1">COUNT(J$14:J55)</f>
        <v>7</v>
      </c>
      <c r="J55" t="str" cm="1">
        <f t="array" aca="1" ref="J55" ca="1">IF(CELL("format",dtbBankVXL[[#This Row],[Bank]])="D1",ROW(dtbBankVXL[[#This Row],[Bank]])-ROW(dtbBankVXL[[#Headers],[Bank]]),"")</f>
        <v/>
      </c>
      <c r="K55" s="39">
        <v>12420.75</v>
      </c>
      <c r="L55" s="38"/>
      <c r="M55" s="38"/>
      <c r="N55" s="38"/>
      <c r="O55" s="38"/>
      <c r="P55" s="38"/>
      <c r="Q55" s="38"/>
      <c r="R55" s="38"/>
      <c r="S55" s="38"/>
      <c r="T55" s="38"/>
      <c r="U55" s="38"/>
    </row>
    <row r="56" spans="8:21" x14ac:dyDescent="0.25">
      <c r="H56" t="b">
        <f t="shared" ca="1" si="1"/>
        <v>1</v>
      </c>
      <c r="I56">
        <f ca="1">COUNT(J$14:J56)</f>
        <v>8</v>
      </c>
      <c r="J56" cm="1">
        <f t="array" aca="1" ref="J56" ca="1">IF(CELL("format",dtbBankVXL[[#This Row],[Bank]])="D1",ROW(dtbBankVXL[[#This Row],[Bank]])-ROW(dtbBankVXL[[#Headers],[Bank]]),"")</f>
        <v>42</v>
      </c>
      <c r="K56" s="40">
        <v>45260</v>
      </c>
      <c r="L56" s="38"/>
      <c r="M56" s="38"/>
      <c r="N56" s="38"/>
      <c r="O56" s="38"/>
      <c r="P56" s="38"/>
      <c r="Q56" s="38"/>
      <c r="R56" s="38"/>
      <c r="S56" s="38"/>
      <c r="T56" s="38"/>
      <c r="U56" s="38"/>
    </row>
    <row r="57" spans="8:21" x14ac:dyDescent="0.25">
      <c r="H57" t="str">
        <f t="shared" ca="1" si="1"/>
        <v/>
      </c>
      <c r="I57">
        <f ca="1">COUNT(J$14:J57)</f>
        <v>8</v>
      </c>
      <c r="J57" t="str" cm="1">
        <f t="array" aca="1" ref="J57" ca="1">IF(CELL("format",dtbBankVXL[[#This Row],[Bank]])="D1",ROW(dtbBankVXL[[#This Row],[Bank]])-ROW(dtbBankVXL[[#Headers],[Bank]]),"")</f>
        <v/>
      </c>
      <c r="K57" s="38" t="s">
        <v>69</v>
      </c>
      <c r="L57" s="38"/>
      <c r="M57" s="38"/>
      <c r="N57" s="38"/>
      <c r="O57" s="38"/>
      <c r="P57" s="38"/>
      <c r="Q57" s="38"/>
      <c r="R57" s="38"/>
      <c r="S57" s="38"/>
      <c r="T57" s="38"/>
      <c r="U57" s="38"/>
    </row>
    <row r="58" spans="8:21" x14ac:dyDescent="0.25">
      <c r="H58" t="str">
        <f t="shared" ca="1" si="1"/>
        <v/>
      </c>
      <c r="I58">
        <f ca="1">COUNT(J$14:J58)</f>
        <v>8</v>
      </c>
      <c r="J58" t="str" cm="1">
        <f t="array" aca="1" ref="J58" ca="1">IF(CELL("format",dtbBankVXL[[#This Row],[Bank]])="D1",ROW(dtbBankVXL[[#This Row],[Bank]])-ROW(dtbBankVXL[[#Headers],[Bank]]),"")</f>
        <v/>
      </c>
      <c r="K58" s="38" t="s">
        <v>68</v>
      </c>
      <c r="L58" s="38"/>
      <c r="M58" s="38"/>
      <c r="N58" s="38"/>
      <c r="O58" s="38"/>
      <c r="P58" s="38"/>
      <c r="Q58" s="38"/>
      <c r="R58" s="38"/>
      <c r="S58" s="38"/>
      <c r="T58" s="38"/>
      <c r="U58" s="38"/>
    </row>
    <row r="59" spans="8:21" x14ac:dyDescent="0.25">
      <c r="H59" t="str">
        <f t="shared" ca="1" si="1"/>
        <v/>
      </c>
      <c r="I59">
        <f ca="1">COUNT(J$14:J59)</f>
        <v>8</v>
      </c>
      <c r="J59" t="str" cm="1">
        <f t="array" aca="1" ref="J59" ca="1">IF(CELL("format",dtbBankVXL[[#This Row],[Bank]])="D1",ROW(dtbBankVXL[[#This Row],[Bank]])-ROW(dtbBankVXL[[#Headers],[Bank]]),"")</f>
        <v/>
      </c>
      <c r="K59" s="39">
        <v>8.5</v>
      </c>
      <c r="L59" s="38"/>
      <c r="M59" s="38"/>
      <c r="N59" s="38"/>
      <c r="O59" s="38"/>
      <c r="P59" s="38"/>
      <c r="Q59" s="38"/>
      <c r="R59" s="38"/>
      <c r="S59" s="38"/>
      <c r="T59" s="38"/>
      <c r="U59" s="38"/>
    </row>
    <row r="60" spans="8:21" x14ac:dyDescent="0.25">
      <c r="H60" t="str">
        <f t="shared" ca="1" si="1"/>
        <v/>
      </c>
      <c r="I60">
        <f ca="1">COUNT(J$14:J60)</f>
        <v>8</v>
      </c>
      <c r="J60" t="str" cm="1">
        <f t="array" aca="1" ref="J60" ca="1">IF(CELL("format",dtbBankVXL[[#This Row],[Bank]])="D1",ROW(dtbBankVXL[[#This Row],[Bank]])-ROW(dtbBankVXL[[#Headers],[Bank]]),"")</f>
        <v/>
      </c>
      <c r="K60" s="39">
        <v>12392.16</v>
      </c>
      <c r="L60" s="38"/>
      <c r="M60" s="38"/>
      <c r="N60" s="38"/>
      <c r="O60" s="38"/>
      <c r="P60" s="38"/>
      <c r="Q60" s="38"/>
      <c r="R60" s="38"/>
      <c r="S60" s="38"/>
      <c r="T60" s="38"/>
      <c r="U60" s="38"/>
    </row>
    <row r="61" spans="8:21" x14ac:dyDescent="0.25">
      <c r="H61" t="b">
        <f t="shared" ca="1" si="1"/>
        <v>0</v>
      </c>
      <c r="I61">
        <f ca="1">COUNT(J$14:J61)</f>
        <v>9</v>
      </c>
      <c r="J61" cm="1">
        <f t="array" aca="1" ref="J61" ca="1">IF(CELL("format",dtbBankVXL[[#This Row],[Bank]])="D1",ROW(dtbBankVXL[[#This Row],[Bank]])-ROW(dtbBankVXL[[#Headers],[Bank]]),"")</f>
        <v>47</v>
      </c>
      <c r="K61" s="40">
        <v>45258</v>
      </c>
      <c r="L61" s="38"/>
      <c r="M61" s="38"/>
      <c r="N61" s="38"/>
      <c r="O61" s="38"/>
      <c r="P61" s="38"/>
      <c r="Q61" s="38"/>
      <c r="R61" s="38"/>
      <c r="S61" s="38"/>
      <c r="T61" s="38"/>
      <c r="U61" s="38"/>
    </row>
    <row r="62" spans="8:21" x14ac:dyDescent="0.25">
      <c r="H62" t="str">
        <f t="shared" ca="1" si="1"/>
        <v/>
      </c>
      <c r="I62">
        <f ca="1">COUNT(J$14:J62)</f>
        <v>9</v>
      </c>
      <c r="J62" t="str" cm="1">
        <f t="array" aca="1" ref="J62" ca="1">IF(CELL("format",dtbBankVXL[[#This Row],[Bank]])="D1",ROW(dtbBankVXL[[#This Row],[Bank]])-ROW(dtbBankVXL[[#Headers],[Bank]]),"")</f>
        <v/>
      </c>
      <c r="K62" s="38" t="s">
        <v>62</v>
      </c>
      <c r="L62" s="38"/>
      <c r="M62" s="38"/>
      <c r="N62" s="38"/>
      <c r="O62" s="38"/>
      <c r="P62" s="38"/>
      <c r="Q62" s="38"/>
      <c r="R62" s="38"/>
      <c r="S62" s="38"/>
      <c r="T62" s="38"/>
      <c r="U62" s="38"/>
    </row>
    <row r="63" spans="8:21" x14ac:dyDescent="0.25">
      <c r="H63" t="str">
        <f t="shared" ca="1" si="1"/>
        <v/>
      </c>
      <c r="I63">
        <f ca="1">COUNT(J$14:J63)</f>
        <v>9</v>
      </c>
      <c r="J63" t="str" cm="1">
        <f t="array" aca="1" ref="J63" ca="1">IF(CELL("format",dtbBankVXL[[#This Row],[Bank]])="D1",ROW(dtbBankVXL[[#This Row],[Bank]])-ROW(dtbBankVXL[[#Headers],[Bank]]),"")</f>
        <v/>
      </c>
      <c r="K63" s="38" t="s">
        <v>61</v>
      </c>
      <c r="L63" s="38"/>
      <c r="M63" s="38"/>
      <c r="N63" s="38"/>
      <c r="O63" s="38"/>
      <c r="P63" s="38"/>
      <c r="Q63" s="38"/>
      <c r="R63" s="38"/>
      <c r="S63" s="38"/>
      <c r="T63" s="38"/>
      <c r="U63" s="38"/>
    </row>
    <row r="64" spans="8:21" x14ac:dyDescent="0.25">
      <c r="H64" t="str">
        <f t="shared" ca="1" si="1"/>
        <v/>
      </c>
      <c r="I64">
        <f ca="1">COUNT(J$14:J64)</f>
        <v>9</v>
      </c>
      <c r="J64" t="str" cm="1">
        <f t="array" aca="1" ref="J64" ca="1">IF(CELL("format",dtbBankVXL[[#This Row],[Bank]])="D1",ROW(dtbBankVXL[[#This Row],[Bank]])-ROW(dtbBankVXL[[#Headers],[Bank]]),"")</f>
        <v/>
      </c>
      <c r="K64" s="38" t="s">
        <v>67</v>
      </c>
      <c r="L64" s="38"/>
      <c r="M64" s="38"/>
      <c r="N64" s="38"/>
      <c r="O64" s="38"/>
      <c r="P64" s="38"/>
      <c r="Q64" s="38"/>
      <c r="R64" s="38"/>
      <c r="S64" s="38"/>
      <c r="T64" s="38"/>
      <c r="U64" s="38"/>
    </row>
    <row r="65" spans="8:21" x14ac:dyDescent="0.25">
      <c r="H65" t="str">
        <f t="shared" ca="1" si="1"/>
        <v/>
      </c>
      <c r="I65">
        <f ca="1">COUNT(J$14:J65)</f>
        <v>9</v>
      </c>
      <c r="J65" t="str" cm="1">
        <f t="array" aca="1" ref="J65" ca="1">IF(CELL("format",dtbBankVXL[[#This Row],[Bank]])="D1",ROW(dtbBankVXL[[#This Row],[Bank]])-ROW(dtbBankVXL[[#Headers],[Bank]]),"")</f>
        <v/>
      </c>
      <c r="K65" s="39">
        <v>-191.2</v>
      </c>
      <c r="L65" s="38"/>
      <c r="M65" s="38"/>
      <c r="N65" s="38"/>
      <c r="O65" s="38"/>
      <c r="P65" s="38"/>
      <c r="Q65" s="38"/>
      <c r="R65" s="38"/>
      <c r="S65" s="38"/>
      <c r="T65" s="38"/>
      <c r="U65" s="38"/>
    </row>
    <row r="66" spans="8:21" x14ac:dyDescent="0.25">
      <c r="H66" t="str">
        <f t="shared" ca="1" si="1"/>
        <v/>
      </c>
      <c r="I66">
        <f ca="1">COUNT(J$14:J66)</f>
        <v>9</v>
      </c>
      <c r="J66" t="str" cm="1">
        <f t="array" aca="1" ref="J66" ca="1">IF(CELL("format",dtbBankVXL[[#This Row],[Bank]])="D1",ROW(dtbBankVXL[[#This Row],[Bank]])-ROW(dtbBankVXL[[#Headers],[Bank]]),"")</f>
        <v/>
      </c>
      <c r="K66" s="39">
        <v>12400.66</v>
      </c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8:21" x14ac:dyDescent="0.25">
      <c r="H67" t="b">
        <f t="shared" ca="1" si="1"/>
        <v>0</v>
      </c>
      <c r="I67">
        <f ca="1">COUNT(J$14:J67)</f>
        <v>10</v>
      </c>
      <c r="J67" cm="1">
        <f t="array" aca="1" ref="J67" ca="1">IF(CELL("format",dtbBankVXL[[#This Row],[Bank]])="D1",ROW(dtbBankVXL[[#This Row],[Bank]])-ROW(dtbBankVXL[[#Headers],[Bank]]),"")</f>
        <v>53</v>
      </c>
      <c r="K67" s="40">
        <v>45257</v>
      </c>
      <c r="L67" s="38"/>
      <c r="M67" s="38"/>
      <c r="N67" s="38"/>
      <c r="O67" s="38"/>
      <c r="P67" s="38"/>
      <c r="Q67" s="38"/>
      <c r="R67" s="38"/>
      <c r="S67" s="38"/>
      <c r="T67" s="38"/>
      <c r="U67" s="38"/>
    </row>
    <row r="68" spans="8:21" x14ac:dyDescent="0.25">
      <c r="H68" t="str">
        <f t="shared" ca="1" si="1"/>
        <v/>
      </c>
      <c r="I68">
        <f ca="1">COUNT(J$14:J68)</f>
        <v>10</v>
      </c>
      <c r="J68" t="str" cm="1">
        <f t="array" aca="1" ref="J68" ca="1">IF(CELL("format",dtbBankVXL[[#This Row],[Bank]])="D1",ROW(dtbBankVXL[[#This Row],[Bank]])-ROW(dtbBankVXL[[#Headers],[Bank]]),"")</f>
        <v/>
      </c>
      <c r="K68" s="38" t="s">
        <v>66</v>
      </c>
      <c r="L68" s="38"/>
      <c r="M68" s="38"/>
      <c r="N68" s="38"/>
      <c r="O68" s="38"/>
      <c r="P68" s="38"/>
      <c r="Q68" s="38"/>
      <c r="R68" s="38"/>
      <c r="S68" s="38"/>
      <c r="T68" s="38"/>
      <c r="U68" s="38"/>
    </row>
    <row r="69" spans="8:21" x14ac:dyDescent="0.25">
      <c r="H69" t="str">
        <f t="shared" ca="1" si="1"/>
        <v/>
      </c>
      <c r="I69">
        <f ca="1">COUNT(J$14:J69)</f>
        <v>10</v>
      </c>
      <c r="J69" t="str" cm="1">
        <f t="array" aca="1" ref="J69" ca="1">IF(CELL("format",dtbBankVXL[[#This Row],[Bank]])="D1",ROW(dtbBankVXL[[#This Row],[Bank]])-ROW(dtbBankVXL[[#Headers],[Bank]]),"")</f>
        <v/>
      </c>
      <c r="K69" s="38" t="s">
        <v>65</v>
      </c>
      <c r="L69" s="38"/>
      <c r="M69" s="38"/>
      <c r="N69" s="38"/>
      <c r="O69" s="38"/>
      <c r="P69" s="38"/>
      <c r="Q69" s="38"/>
      <c r="R69" s="38"/>
      <c r="S69" s="38"/>
      <c r="T69" s="38"/>
      <c r="U69" s="38"/>
    </row>
    <row r="70" spans="8:21" x14ac:dyDescent="0.25">
      <c r="H70" t="str">
        <f t="shared" ca="1" si="1"/>
        <v/>
      </c>
      <c r="I70">
        <f ca="1">COUNT(J$14:J70)</f>
        <v>10</v>
      </c>
      <c r="J70" t="str" cm="1">
        <f t="array" aca="1" ref="J70" ca="1">IF(CELL("format",dtbBankVXL[[#This Row],[Bank]])="D1",ROW(dtbBankVXL[[#This Row],[Bank]])-ROW(dtbBankVXL[[#Headers],[Bank]]),"")</f>
        <v/>
      </c>
      <c r="K70" s="38" t="s">
        <v>64</v>
      </c>
      <c r="L70" s="38"/>
      <c r="M70" s="38"/>
      <c r="N70" s="38"/>
      <c r="O70" s="38"/>
      <c r="P70" s="38"/>
      <c r="Q70" s="38"/>
      <c r="R70" s="38"/>
      <c r="S70" s="38"/>
      <c r="T70" s="38"/>
      <c r="U70" s="38"/>
    </row>
    <row r="71" spans="8:21" x14ac:dyDescent="0.25">
      <c r="H71" t="str">
        <f t="shared" ca="1" si="1"/>
        <v/>
      </c>
      <c r="I71">
        <f ca="1">COUNT(J$14:J71)</f>
        <v>10</v>
      </c>
      <c r="J71" t="str" cm="1">
        <f t="array" aca="1" ref="J71" ca="1">IF(CELL("format",dtbBankVXL[[#This Row],[Bank]])="D1",ROW(dtbBankVXL[[#This Row],[Bank]])-ROW(dtbBankVXL[[#Headers],[Bank]]),"")</f>
        <v/>
      </c>
      <c r="K71" s="39">
        <v>8695.0499999999993</v>
      </c>
      <c r="L71" s="38"/>
      <c r="M71" s="38"/>
      <c r="N71" s="38"/>
      <c r="O71" s="38"/>
      <c r="P71" s="38"/>
      <c r="Q71" s="38"/>
      <c r="R71" s="38"/>
      <c r="S71" s="38"/>
      <c r="T71" s="38"/>
      <c r="U71" s="38"/>
    </row>
    <row r="72" spans="8:21" x14ac:dyDescent="0.25">
      <c r="H72" t="str">
        <f t="shared" ca="1" si="1"/>
        <v/>
      </c>
      <c r="I72">
        <f ca="1">COUNT(J$14:J72)</f>
        <v>10</v>
      </c>
      <c r="J72" t="str" cm="1">
        <f t="array" aca="1" ref="J72" ca="1">IF(CELL("format",dtbBankVXL[[#This Row],[Bank]])="D1",ROW(dtbBankVXL[[#This Row],[Bank]])-ROW(dtbBankVXL[[#Headers],[Bank]]),"")</f>
        <v/>
      </c>
      <c r="K72" s="39">
        <v>12209.46</v>
      </c>
      <c r="L72" s="38"/>
      <c r="M72" s="38"/>
      <c r="N72" s="38"/>
      <c r="O72" s="38"/>
      <c r="P72" s="38"/>
      <c r="Q72" s="38"/>
      <c r="R72" s="38"/>
      <c r="S72" s="38"/>
      <c r="T72" s="38"/>
      <c r="U72" s="38"/>
    </row>
    <row r="73" spans="8:21" x14ac:dyDescent="0.25">
      <c r="H73" t="b">
        <f t="shared" ca="1" si="1"/>
        <v>0</v>
      </c>
      <c r="I73">
        <f ca="1">COUNT(J$14:J73)</f>
        <v>11</v>
      </c>
      <c r="J73" cm="1">
        <f t="array" aca="1" ref="J73" ca="1">IF(CELL("format",dtbBankVXL[[#This Row],[Bank]])="D1",ROW(dtbBankVXL[[#This Row],[Bank]])-ROW(dtbBankVXL[[#Headers],[Bank]]),"")</f>
        <v>59</v>
      </c>
      <c r="K73" s="40">
        <v>45252</v>
      </c>
      <c r="L73" s="38"/>
      <c r="M73" s="38"/>
      <c r="N73" s="38"/>
      <c r="O73" s="38"/>
      <c r="P73" s="38"/>
      <c r="Q73" s="38"/>
      <c r="R73" s="38"/>
      <c r="S73" s="38"/>
      <c r="T73" s="38"/>
      <c r="U73" s="38"/>
    </row>
    <row r="74" spans="8:21" x14ac:dyDescent="0.25">
      <c r="H74" t="str">
        <f t="shared" ca="1" si="1"/>
        <v/>
      </c>
      <c r="I74">
        <f ca="1">COUNT(J$14:J74)</f>
        <v>11</v>
      </c>
      <c r="J74" t="str" cm="1">
        <f t="array" aca="1" ref="J74" ca="1">IF(CELL("format",dtbBankVXL[[#This Row],[Bank]])="D1",ROW(dtbBankVXL[[#This Row],[Bank]])-ROW(dtbBankVXL[[#Headers],[Bank]]),"")</f>
        <v/>
      </c>
      <c r="K74" s="38" t="s">
        <v>62</v>
      </c>
      <c r="L74" s="38"/>
      <c r="M74" s="38"/>
      <c r="N74" s="38"/>
      <c r="O74" s="38"/>
      <c r="P74" s="38"/>
      <c r="Q74" s="38"/>
      <c r="R74" s="38"/>
      <c r="S74" s="38"/>
      <c r="T74" s="38"/>
      <c r="U74" s="38"/>
    </row>
    <row r="75" spans="8:21" x14ac:dyDescent="0.25">
      <c r="H75" t="str">
        <f t="shared" ca="1" si="1"/>
        <v/>
      </c>
      <c r="I75">
        <f ca="1">COUNT(J$14:J75)</f>
        <v>11</v>
      </c>
      <c r="J75" t="str" cm="1">
        <f t="array" aca="1" ref="J75" ca="1">IF(CELL("format",dtbBankVXL[[#This Row],[Bank]])="D1",ROW(dtbBankVXL[[#This Row],[Bank]])-ROW(dtbBankVXL[[#Headers],[Bank]]),"")</f>
        <v/>
      </c>
      <c r="K75" s="38" t="s">
        <v>61</v>
      </c>
      <c r="L75" s="38"/>
      <c r="M75" s="38"/>
      <c r="N75" s="38"/>
      <c r="O75" s="38"/>
      <c r="P75" s="38"/>
      <c r="Q75" s="38"/>
      <c r="R75" s="38"/>
      <c r="S75" s="38"/>
      <c r="T75" s="38"/>
      <c r="U75" s="38"/>
    </row>
    <row r="76" spans="8:21" x14ac:dyDescent="0.25">
      <c r="H76" t="str">
        <f t="shared" ca="1" si="1"/>
        <v/>
      </c>
      <c r="I76">
        <f ca="1">COUNT(J$14:J76)</f>
        <v>11</v>
      </c>
      <c r="J76" t="str" cm="1">
        <f t="array" aca="1" ref="J76" ca="1">IF(CELL("format",dtbBankVXL[[#This Row],[Bank]])="D1",ROW(dtbBankVXL[[#This Row],[Bank]])-ROW(dtbBankVXL[[#Headers],[Bank]]),"")</f>
        <v/>
      </c>
      <c r="K76" s="38" t="s">
        <v>63</v>
      </c>
      <c r="L76" s="38"/>
      <c r="M76" s="38"/>
      <c r="N76" s="38"/>
      <c r="O76" s="38"/>
      <c r="P76" s="38"/>
      <c r="Q76" s="38"/>
      <c r="R76" s="38"/>
      <c r="S76" s="38"/>
      <c r="T76" s="38"/>
      <c r="U76" s="38"/>
    </row>
    <row r="77" spans="8:21" x14ac:dyDescent="0.25">
      <c r="H77" t="str">
        <f t="shared" ca="1" si="1"/>
        <v/>
      </c>
      <c r="I77">
        <f ca="1">COUNT(J$14:J77)</f>
        <v>11</v>
      </c>
      <c r="J77" t="str" cm="1">
        <f t="array" aca="1" ref="J77" ca="1">IF(CELL("format",dtbBankVXL[[#This Row],[Bank]])="D1",ROW(dtbBankVXL[[#This Row],[Bank]])-ROW(dtbBankVXL[[#Headers],[Bank]]),"")</f>
        <v/>
      </c>
      <c r="K77" s="39">
        <v>-192.54</v>
      </c>
      <c r="L77" s="38"/>
      <c r="M77" s="38"/>
      <c r="N77" s="38"/>
      <c r="O77" s="38"/>
      <c r="P77" s="38"/>
      <c r="Q77" s="38"/>
      <c r="R77" s="38"/>
      <c r="S77" s="38"/>
      <c r="T77" s="38"/>
      <c r="U77" s="38"/>
    </row>
    <row r="78" spans="8:21" x14ac:dyDescent="0.25">
      <c r="H78" t="str">
        <f t="shared" ca="1" si="1"/>
        <v/>
      </c>
      <c r="I78">
        <f ca="1">COUNT(J$14:J78)</f>
        <v>11</v>
      </c>
      <c r="J78" t="str" cm="1">
        <f t="array" aca="1" ref="J78" ca="1">IF(CELL("format",dtbBankVXL[[#This Row],[Bank]])="D1",ROW(dtbBankVXL[[#This Row],[Bank]])-ROW(dtbBankVXL[[#Headers],[Bank]]),"")</f>
        <v/>
      </c>
      <c r="K78" s="39">
        <v>20904.509999999998</v>
      </c>
      <c r="L78" s="38"/>
      <c r="M78" s="38"/>
      <c r="N78" s="38"/>
      <c r="O78" s="38"/>
      <c r="P78" s="38"/>
      <c r="Q78" s="38"/>
      <c r="R78" s="38"/>
      <c r="S78" s="38"/>
      <c r="T78" s="38"/>
      <c r="U78" s="38"/>
    </row>
    <row r="79" spans="8:21" x14ac:dyDescent="0.25">
      <c r="H79" t="b">
        <f t="shared" ca="1" si="1"/>
        <v>0</v>
      </c>
      <c r="I79">
        <f ca="1">COUNT(J$14:J79)</f>
        <v>12</v>
      </c>
      <c r="J79" cm="1">
        <f t="array" aca="1" ref="J79" ca="1">IF(CELL("format",dtbBankVXL[[#This Row],[Bank]])="D1",ROW(dtbBankVXL[[#This Row],[Bank]])-ROW(dtbBankVXL[[#Headers],[Bank]]),"")</f>
        <v>65</v>
      </c>
      <c r="K79" s="40">
        <v>45247</v>
      </c>
      <c r="L79" s="38"/>
      <c r="M79" s="38"/>
      <c r="N79" s="38"/>
      <c r="O79" s="38"/>
      <c r="P79" s="38"/>
      <c r="Q79" s="38"/>
      <c r="R79" s="38"/>
      <c r="S79" s="38"/>
      <c r="T79" s="38"/>
      <c r="U79" s="38"/>
    </row>
    <row r="80" spans="8:21" x14ac:dyDescent="0.25">
      <c r="H80" t="str">
        <f t="shared" ca="1" si="1"/>
        <v/>
      </c>
      <c r="I80">
        <f ca="1">COUNT(J$14:J80)</f>
        <v>12</v>
      </c>
      <c r="J80" t="str" cm="1">
        <f t="array" aca="1" ref="J80" ca="1">IF(CELL("format",dtbBankVXL[[#This Row],[Bank]])="D1",ROW(dtbBankVXL[[#This Row],[Bank]])-ROW(dtbBankVXL[[#Headers],[Bank]]),"")</f>
        <v/>
      </c>
      <c r="K80" s="38" t="s">
        <v>62</v>
      </c>
      <c r="L80" s="38"/>
      <c r="M80" s="38"/>
      <c r="N80" s="38"/>
      <c r="O80" s="38"/>
      <c r="P80" s="38"/>
      <c r="Q80" s="38"/>
      <c r="R80" s="38"/>
      <c r="S80" s="38"/>
      <c r="T80" s="38"/>
      <c r="U80" s="38"/>
    </row>
    <row r="81" spans="8:21" x14ac:dyDescent="0.25">
      <c r="H81" t="str">
        <f t="shared" ca="1" si="1"/>
        <v/>
      </c>
      <c r="I81">
        <f ca="1">COUNT(J$14:J81)</f>
        <v>12</v>
      </c>
      <c r="J81" t="str" cm="1">
        <f t="array" aca="1" ref="J81" ca="1">IF(CELL("format",dtbBankVXL[[#This Row],[Bank]])="D1",ROW(dtbBankVXL[[#This Row],[Bank]])-ROW(dtbBankVXL[[#Headers],[Bank]]),"")</f>
        <v/>
      </c>
      <c r="K81" s="38" t="s">
        <v>61</v>
      </c>
      <c r="L81" s="38"/>
      <c r="M81" s="38"/>
      <c r="N81" s="38"/>
      <c r="O81" s="38"/>
      <c r="P81" s="38"/>
      <c r="Q81" s="38"/>
      <c r="R81" s="38"/>
      <c r="S81" s="38"/>
      <c r="T81" s="38"/>
      <c r="U81" s="38"/>
    </row>
    <row r="82" spans="8:21" x14ac:dyDescent="0.25">
      <c r="H82" t="str">
        <f t="shared" ca="1" si="1"/>
        <v/>
      </c>
      <c r="I82">
        <f ca="1">COUNT(J$14:J82)</f>
        <v>12</v>
      </c>
      <c r="J82" t="str" cm="1">
        <f t="array" aca="1" ref="J82" ca="1">IF(CELL("format",dtbBankVXL[[#This Row],[Bank]])="D1",ROW(dtbBankVXL[[#This Row],[Bank]])-ROW(dtbBankVXL[[#Headers],[Bank]]),"")</f>
        <v/>
      </c>
      <c r="K82" s="38" t="s">
        <v>60</v>
      </c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8:21" x14ac:dyDescent="0.25">
      <c r="H83" t="str">
        <f t="shared" ca="1" si="1"/>
        <v/>
      </c>
      <c r="I83">
        <f ca="1">COUNT(J$14:J83)</f>
        <v>12</v>
      </c>
      <c r="J83" t="str" cm="1">
        <f t="array" aca="1" ref="J83" ca="1">IF(CELL("format",dtbBankVXL[[#This Row],[Bank]])="D1",ROW(dtbBankVXL[[#This Row],[Bank]])-ROW(dtbBankVXL[[#Headers],[Bank]]),"")</f>
        <v/>
      </c>
      <c r="K83" s="39">
        <v>-614.09</v>
      </c>
      <c r="L83" s="38"/>
      <c r="M83" s="38"/>
      <c r="N83" s="38"/>
      <c r="O83" s="38"/>
      <c r="P83" s="38"/>
      <c r="Q83" s="38"/>
      <c r="R83" s="38"/>
      <c r="S83" s="38"/>
      <c r="T83" s="38"/>
      <c r="U83" s="38"/>
    </row>
    <row r="84" spans="8:21" x14ac:dyDescent="0.25">
      <c r="H84" t="str">
        <f t="shared" ca="1" si="1"/>
        <v/>
      </c>
      <c r="I84">
        <f ca="1">COUNT(J$14:J84)</f>
        <v>12</v>
      </c>
      <c r="J84" t="str" cm="1">
        <f t="array" aca="1" ref="J84" ca="1">IF(CELL("format",dtbBankVXL[[#This Row],[Bank]])="D1",ROW(dtbBankVXL[[#This Row],[Bank]])-ROW(dtbBankVXL[[#Headers],[Bank]]),"")</f>
        <v/>
      </c>
      <c r="K84" s="39">
        <v>20711.97</v>
      </c>
      <c r="L84" s="38"/>
      <c r="M84" s="38"/>
      <c r="N84" s="38"/>
      <c r="O84" s="38"/>
      <c r="P84" s="38"/>
      <c r="Q84" s="38"/>
      <c r="R84" s="38"/>
      <c r="S84" s="38"/>
      <c r="T84" s="38"/>
      <c r="U84" s="38"/>
    </row>
    <row r="85" spans="8:21" x14ac:dyDescent="0.25">
      <c r="H85" t="b">
        <f t="shared" ca="1" si="1"/>
        <v>0</v>
      </c>
      <c r="I85">
        <f ca="1">COUNT(J$14:J85)</f>
        <v>13</v>
      </c>
      <c r="J85" cm="1">
        <f t="array" aca="1" ref="J85" ca="1">IF(CELL("format",dtbBankVXL[[#This Row],[Bank]])="D1",ROW(dtbBankVXL[[#This Row],[Bank]])-ROW(dtbBankVXL[[#Headers],[Bank]]),"")</f>
        <v>71</v>
      </c>
      <c r="K85" s="40">
        <v>45244</v>
      </c>
      <c r="L85" s="38"/>
      <c r="M85" s="38"/>
      <c r="N85" s="38"/>
      <c r="O85" s="38"/>
      <c r="P85" s="38"/>
      <c r="Q85" s="38"/>
      <c r="R85" s="38"/>
      <c r="S85" s="38"/>
      <c r="T85" s="38"/>
      <c r="U85" s="38"/>
    </row>
    <row r="86" spans="8:21" x14ac:dyDescent="0.25">
      <c r="H86" t="str">
        <f t="shared" ca="1" si="1"/>
        <v/>
      </c>
      <c r="I86">
        <f ca="1">COUNT(J$14:J86)</f>
        <v>13</v>
      </c>
      <c r="J86" t="str" cm="1">
        <f t="array" aca="1" ref="J86" ca="1">IF(CELL("format",dtbBankVXL[[#This Row],[Bank]])="D1",ROW(dtbBankVXL[[#This Row],[Bank]])-ROW(dtbBankVXL[[#Headers],[Bank]]),"")</f>
        <v/>
      </c>
      <c r="K86" s="38" t="s">
        <v>39</v>
      </c>
      <c r="L86" s="38"/>
      <c r="M86" s="38"/>
      <c r="N86" s="38"/>
      <c r="O86" s="38"/>
      <c r="P86" s="38"/>
      <c r="Q86" s="38"/>
      <c r="R86" s="38"/>
      <c r="S86" s="38"/>
      <c r="T86" s="38"/>
      <c r="U86" s="38"/>
    </row>
    <row r="87" spans="8:21" x14ac:dyDescent="0.25">
      <c r="H87" t="str">
        <f t="shared" ca="1" si="1"/>
        <v/>
      </c>
      <c r="I87">
        <f ca="1">COUNT(J$14:J87)</f>
        <v>13</v>
      </c>
      <c r="J87" t="str" cm="1">
        <f t="array" aca="1" ref="J87" ca="1">IF(CELL("format",dtbBankVXL[[#This Row],[Bank]])="D1",ROW(dtbBankVXL[[#This Row],[Bank]])-ROW(dtbBankVXL[[#Headers],[Bank]]),"")</f>
        <v/>
      </c>
      <c r="K87" s="38" t="s">
        <v>59</v>
      </c>
      <c r="L87" s="38"/>
      <c r="M87" s="38"/>
      <c r="N87" s="38"/>
      <c r="O87" s="38"/>
      <c r="P87" s="38"/>
      <c r="Q87" s="38"/>
      <c r="R87" s="38"/>
      <c r="S87" s="38"/>
      <c r="T87" s="38"/>
      <c r="U87" s="38"/>
    </row>
    <row r="88" spans="8:21" x14ac:dyDescent="0.25">
      <c r="H88" t="str">
        <f t="shared" ca="1" si="1"/>
        <v/>
      </c>
      <c r="I88">
        <f ca="1">COUNT(J$14:J88)</f>
        <v>13</v>
      </c>
      <c r="J88" t="str" cm="1">
        <f t="array" aca="1" ref="J88" ca="1">IF(CELL("format",dtbBankVXL[[#This Row],[Bank]])="D1",ROW(dtbBankVXL[[#This Row],[Bank]])-ROW(dtbBankVXL[[#Headers],[Bank]]),"")</f>
        <v/>
      </c>
      <c r="K88" s="38" t="s">
        <v>58</v>
      </c>
      <c r="L88" s="38"/>
      <c r="M88" s="38"/>
      <c r="N88" s="38"/>
      <c r="O88" s="38"/>
      <c r="P88" s="38"/>
      <c r="Q88" s="38"/>
      <c r="R88" s="38"/>
      <c r="S88" s="38"/>
      <c r="T88" s="38"/>
      <c r="U88" s="38"/>
    </row>
    <row r="89" spans="8:21" x14ac:dyDescent="0.25">
      <c r="H89" t="str">
        <f t="shared" ca="1" si="1"/>
        <v/>
      </c>
      <c r="I89">
        <f ca="1">COUNT(J$14:J89)</f>
        <v>13</v>
      </c>
      <c r="J89" t="str" cm="1">
        <f t="array" aca="1" ref="J89" ca="1">IF(CELL("format",dtbBankVXL[[#This Row],[Bank]])="D1",ROW(dtbBankVXL[[#This Row],[Bank]])-ROW(dtbBankVXL[[#Headers],[Bank]]),"")</f>
        <v/>
      </c>
      <c r="K89" s="39">
        <v>230</v>
      </c>
      <c r="L89" s="38"/>
      <c r="M89" s="38"/>
      <c r="N89" s="38"/>
      <c r="O89" s="38"/>
      <c r="P89" s="38"/>
      <c r="Q89" s="38"/>
      <c r="R89" s="38"/>
      <c r="S89" s="38"/>
      <c r="T89" s="38"/>
      <c r="U89" s="38"/>
    </row>
    <row r="90" spans="8:21" x14ac:dyDescent="0.25">
      <c r="H90" t="str">
        <f t="shared" ca="1" si="1"/>
        <v/>
      </c>
      <c r="I90">
        <f ca="1">COUNT(J$14:J90)</f>
        <v>13</v>
      </c>
      <c r="J90" t="str" cm="1">
        <f t="array" aca="1" ref="J90" ca="1">IF(CELL("format",dtbBankVXL[[#This Row],[Bank]])="D1",ROW(dtbBankVXL[[#This Row],[Bank]])-ROW(dtbBankVXL[[#Headers],[Bank]]),"")</f>
        <v/>
      </c>
      <c r="K90" s="39">
        <v>20097.88</v>
      </c>
      <c r="L90" s="38"/>
      <c r="M90" s="38"/>
      <c r="N90" s="38"/>
      <c r="O90" s="38"/>
      <c r="P90" s="38"/>
      <c r="Q90" s="38"/>
      <c r="R90" s="38"/>
      <c r="S90" s="38"/>
      <c r="T90" s="38"/>
      <c r="U90" s="38"/>
    </row>
    <row r="91" spans="8:21" x14ac:dyDescent="0.25">
      <c r="H91" t="b">
        <f t="shared" ca="1" si="1"/>
        <v>0</v>
      </c>
      <c r="I91">
        <f ca="1">COUNT(J$14:J91)</f>
        <v>14</v>
      </c>
      <c r="J91" cm="1">
        <f t="array" aca="1" ref="J91" ca="1">IF(CELL("format",dtbBankVXL[[#This Row],[Bank]])="D1",ROW(dtbBankVXL[[#This Row],[Bank]])-ROW(dtbBankVXL[[#Headers],[Bank]]),"")</f>
        <v>77</v>
      </c>
      <c r="K91" s="40">
        <v>45244</v>
      </c>
      <c r="L91" s="38"/>
      <c r="M91" s="38"/>
      <c r="N91" s="38"/>
      <c r="O91" s="38"/>
      <c r="P91" s="38"/>
      <c r="Q91" s="38"/>
      <c r="R91" s="38"/>
      <c r="S91" s="38"/>
      <c r="T91" s="38"/>
      <c r="U91" s="38"/>
    </row>
    <row r="92" spans="8:21" x14ac:dyDescent="0.25">
      <c r="H92" t="str">
        <f t="shared" ca="1" si="1"/>
        <v/>
      </c>
      <c r="I92">
        <f ca="1">COUNT(J$14:J92)</f>
        <v>14</v>
      </c>
      <c r="J92" t="str" cm="1">
        <f t="array" aca="1" ref="J92" ca="1">IF(CELL("format",dtbBankVXL[[#This Row],[Bank]])="D1",ROW(dtbBankVXL[[#This Row],[Bank]])-ROW(dtbBankVXL[[#Headers],[Bank]]),"")</f>
        <v/>
      </c>
      <c r="K92" s="38" t="s">
        <v>39</v>
      </c>
      <c r="L92" s="38"/>
      <c r="M92" s="38"/>
      <c r="N92" s="38"/>
      <c r="O92" s="38"/>
      <c r="P92" s="38"/>
      <c r="Q92" s="38"/>
      <c r="R92" s="38"/>
      <c r="S92" s="38"/>
      <c r="T92" s="38"/>
      <c r="U92" s="38"/>
    </row>
    <row r="93" spans="8:21" x14ac:dyDescent="0.25">
      <c r="H93" t="str">
        <f t="shared" ca="1" si="1"/>
        <v/>
      </c>
      <c r="I93">
        <f ca="1">COUNT(J$14:J93)</f>
        <v>14</v>
      </c>
      <c r="J93" t="str" cm="1">
        <f t="array" aca="1" ref="J93" ca="1">IF(CELL("format",dtbBankVXL[[#This Row],[Bank]])="D1",ROW(dtbBankVXL[[#This Row],[Bank]])-ROW(dtbBankVXL[[#Headers],[Bank]]),"")</f>
        <v/>
      </c>
      <c r="K93" s="38" t="s">
        <v>57</v>
      </c>
      <c r="L93" s="38"/>
      <c r="M93" s="38"/>
      <c r="N93" s="38"/>
      <c r="O93" s="38"/>
      <c r="P93" s="38"/>
      <c r="Q93" s="38"/>
      <c r="R93" s="38"/>
      <c r="S93" s="38"/>
      <c r="T93" s="38"/>
      <c r="U93" s="38"/>
    </row>
    <row r="94" spans="8:21" x14ac:dyDescent="0.25">
      <c r="H94" t="str">
        <f t="shared" ca="1" si="1"/>
        <v/>
      </c>
      <c r="I94">
        <f ca="1">COUNT(J$14:J94)</f>
        <v>14</v>
      </c>
      <c r="J94" t="str" cm="1">
        <f t="array" aca="1" ref="J94" ca="1">IF(CELL("format",dtbBankVXL[[#This Row],[Bank]])="D1",ROW(dtbBankVXL[[#This Row],[Bank]])-ROW(dtbBankVXL[[#Headers],[Bank]]),"")</f>
        <v/>
      </c>
      <c r="K94" s="38" t="s">
        <v>56</v>
      </c>
      <c r="L94" s="38"/>
      <c r="M94" s="38"/>
      <c r="N94" s="38"/>
      <c r="O94" s="38"/>
      <c r="P94" s="38"/>
      <c r="Q94" s="38"/>
      <c r="R94" s="38"/>
      <c r="S94" s="38"/>
      <c r="T94" s="38"/>
      <c r="U94" s="38"/>
    </row>
    <row r="95" spans="8:21" x14ac:dyDescent="0.25">
      <c r="H95" t="str">
        <f t="shared" ca="1" si="1"/>
        <v/>
      </c>
      <c r="I95">
        <f ca="1">COUNT(J$14:J95)</f>
        <v>14</v>
      </c>
      <c r="J95" t="str" cm="1">
        <f t="array" aca="1" ref="J95" ca="1">IF(CELL("format",dtbBankVXL[[#This Row],[Bank]])="D1",ROW(dtbBankVXL[[#This Row],[Bank]])-ROW(dtbBankVXL[[#Headers],[Bank]]),"")</f>
        <v/>
      </c>
      <c r="K95" s="39">
        <v>200</v>
      </c>
      <c r="L95" s="38"/>
      <c r="M95" s="38"/>
      <c r="N95" s="38"/>
      <c r="O95" s="38"/>
      <c r="P95" s="38"/>
      <c r="Q95" s="38"/>
      <c r="R95" s="38"/>
      <c r="S95" s="38"/>
      <c r="T95" s="38"/>
      <c r="U95" s="38"/>
    </row>
    <row r="96" spans="8:21" x14ac:dyDescent="0.25">
      <c r="H96" t="str">
        <f t="shared" ca="1" si="1"/>
        <v/>
      </c>
      <c r="I96">
        <f ca="1">COUNT(J$14:J96)</f>
        <v>14</v>
      </c>
      <c r="J96" t="str" cm="1">
        <f t="array" aca="1" ref="J96" ca="1">IF(CELL("format",dtbBankVXL[[#This Row],[Bank]])="D1",ROW(dtbBankVXL[[#This Row],[Bank]])-ROW(dtbBankVXL[[#Headers],[Bank]]),"")</f>
        <v/>
      </c>
      <c r="K96" s="39">
        <v>20327.88</v>
      </c>
      <c r="L96" s="38"/>
      <c r="M96" s="38"/>
      <c r="N96" s="38"/>
      <c r="O96" s="38"/>
      <c r="P96" s="38"/>
      <c r="Q96" s="38"/>
      <c r="R96" s="38"/>
      <c r="S96" s="38"/>
      <c r="T96" s="38"/>
      <c r="U96" s="38"/>
    </row>
    <row r="97" spans="8:21" x14ac:dyDescent="0.25">
      <c r="H97" t="b">
        <f t="shared" ref="H97:H150" ca="1" si="2">IF(N(J97)&gt;0,SUM(J98:J102)-J97=5,"")</f>
        <v>0</v>
      </c>
      <c r="I97">
        <f ca="1">COUNT(J$14:J97)</f>
        <v>15</v>
      </c>
      <c r="J97" cm="1">
        <f t="array" aca="1" ref="J97" ca="1">IF(CELL("format",dtbBankVXL[[#This Row],[Bank]])="D1",ROW(dtbBankVXL[[#This Row],[Bank]])-ROW(dtbBankVXL[[#Headers],[Bank]]),"")</f>
        <v>83</v>
      </c>
      <c r="K97" s="40">
        <v>45243</v>
      </c>
      <c r="L97" s="38"/>
      <c r="M97" s="38"/>
      <c r="N97" s="38"/>
      <c r="O97" s="38"/>
      <c r="P97" s="38"/>
      <c r="Q97" s="38"/>
      <c r="R97" s="38"/>
      <c r="S97" s="38"/>
      <c r="T97" s="38"/>
      <c r="U97" s="38"/>
    </row>
    <row r="98" spans="8:21" x14ac:dyDescent="0.25">
      <c r="H98" t="str">
        <f t="shared" ca="1" si="2"/>
        <v/>
      </c>
      <c r="I98">
        <f ca="1">COUNT(J$14:J98)</f>
        <v>15</v>
      </c>
      <c r="J98" t="str" cm="1">
        <f t="array" aca="1" ref="J98" ca="1">IF(CELL("format",dtbBankVXL[[#This Row],[Bank]])="D1",ROW(dtbBankVXL[[#This Row],[Bank]])-ROW(dtbBankVXL[[#Headers],[Bank]]),"")</f>
        <v/>
      </c>
      <c r="K98" s="38" t="s">
        <v>39</v>
      </c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8:21" x14ac:dyDescent="0.25">
      <c r="H99" t="str">
        <f t="shared" ca="1" si="2"/>
        <v/>
      </c>
      <c r="I99">
        <f ca="1">COUNT(J$14:J99)</f>
        <v>15</v>
      </c>
      <c r="J99" t="str" cm="1">
        <f t="array" aca="1" ref="J99" ca="1">IF(CELL("format",dtbBankVXL[[#This Row],[Bank]])="D1",ROW(dtbBankVXL[[#This Row],[Bank]])-ROW(dtbBankVXL[[#Headers],[Bank]]),"")</f>
        <v/>
      </c>
      <c r="K99" s="38" t="s">
        <v>55</v>
      </c>
      <c r="L99" s="38"/>
      <c r="M99" s="38"/>
      <c r="N99" s="38"/>
      <c r="O99" s="38"/>
      <c r="P99" s="38"/>
      <c r="Q99" s="38"/>
      <c r="R99" s="38"/>
      <c r="S99" s="38"/>
      <c r="T99" s="38"/>
      <c r="U99" s="38"/>
    </row>
    <row r="100" spans="8:21" x14ac:dyDescent="0.25">
      <c r="H100" t="str">
        <f t="shared" ca="1" si="2"/>
        <v/>
      </c>
      <c r="I100">
        <f ca="1">COUNT(J$14:J100)</f>
        <v>15</v>
      </c>
      <c r="J100" t="str" cm="1">
        <f t="array" aca="1" ref="J100" ca="1">IF(CELL("format",dtbBankVXL[[#This Row],[Bank]])="D1",ROW(dtbBankVXL[[#This Row],[Bank]])-ROW(dtbBankVXL[[#Headers],[Bank]]),"")</f>
        <v/>
      </c>
      <c r="K100" s="38" t="s">
        <v>54</v>
      </c>
      <c r="L100" s="38"/>
      <c r="M100" s="38"/>
      <c r="N100" s="38"/>
      <c r="O100" s="38"/>
      <c r="P100" s="38"/>
      <c r="Q100" s="38"/>
      <c r="R100" s="38"/>
      <c r="S100" s="38"/>
      <c r="T100" s="38"/>
      <c r="U100" s="38"/>
    </row>
    <row r="101" spans="8:21" x14ac:dyDescent="0.25">
      <c r="H101" t="str">
        <f t="shared" ca="1" si="2"/>
        <v/>
      </c>
      <c r="I101">
        <f ca="1">COUNT(J$14:J101)</f>
        <v>15</v>
      </c>
      <c r="J101" t="str" cm="1">
        <f t="array" aca="1" ref="J101" ca="1">IF(CELL("format",dtbBankVXL[[#This Row],[Bank]])="D1",ROW(dtbBankVXL[[#This Row],[Bank]])-ROW(dtbBankVXL[[#Headers],[Bank]]),"")</f>
        <v/>
      </c>
      <c r="K101" s="39">
        <v>4887.37</v>
      </c>
      <c r="L101" s="38"/>
      <c r="M101" s="38"/>
      <c r="N101" s="38"/>
      <c r="O101" s="38"/>
      <c r="P101" s="38"/>
      <c r="Q101" s="38"/>
      <c r="R101" s="38"/>
      <c r="S101" s="38"/>
      <c r="T101" s="38"/>
      <c r="U101" s="38"/>
    </row>
    <row r="102" spans="8:21" x14ac:dyDescent="0.25">
      <c r="H102" t="str">
        <f t="shared" ca="1" si="2"/>
        <v/>
      </c>
      <c r="I102">
        <f ca="1">COUNT(J$14:J102)</f>
        <v>15</v>
      </c>
      <c r="J102" t="str" cm="1">
        <f t="array" aca="1" ref="J102" ca="1">IF(CELL("format",dtbBankVXL[[#This Row],[Bank]])="D1",ROW(dtbBankVXL[[#This Row],[Bank]])-ROW(dtbBankVXL[[#Headers],[Bank]]),"")</f>
        <v/>
      </c>
      <c r="K102" s="39">
        <v>20527.88</v>
      </c>
      <c r="L102" s="38"/>
      <c r="M102" s="38"/>
      <c r="N102" s="38"/>
      <c r="O102" s="38"/>
      <c r="P102" s="38"/>
      <c r="Q102" s="38"/>
      <c r="R102" s="38"/>
      <c r="S102" s="38"/>
      <c r="T102" s="38"/>
      <c r="U102" s="38"/>
    </row>
    <row r="103" spans="8:21" x14ac:dyDescent="0.25">
      <c r="H103" t="b">
        <f t="shared" ca="1" si="2"/>
        <v>0</v>
      </c>
      <c r="I103">
        <f ca="1">COUNT(J$14:J103)</f>
        <v>16</v>
      </c>
      <c r="J103" cm="1">
        <f t="array" aca="1" ref="J103" ca="1">IF(CELL("format",dtbBankVXL[[#This Row],[Bank]])="D1",ROW(dtbBankVXL[[#This Row],[Bank]])-ROW(dtbBankVXL[[#Headers],[Bank]]),"")</f>
        <v>89</v>
      </c>
      <c r="K103" s="40">
        <v>45243</v>
      </c>
      <c r="L103" s="38"/>
      <c r="M103" s="38"/>
      <c r="N103" s="38"/>
      <c r="O103" s="38"/>
      <c r="P103" s="38"/>
      <c r="Q103" s="38"/>
      <c r="R103" s="38"/>
      <c r="S103" s="38"/>
      <c r="T103" s="38"/>
      <c r="U103" s="38"/>
    </row>
    <row r="104" spans="8:21" x14ac:dyDescent="0.25">
      <c r="H104" t="str">
        <f t="shared" ca="1" si="2"/>
        <v/>
      </c>
      <c r="I104">
        <f ca="1">COUNT(J$14:J104)</f>
        <v>16</v>
      </c>
      <c r="J104" t="str" cm="1">
        <f t="array" aca="1" ref="J104" ca="1">IF(CELL("format",dtbBankVXL[[#This Row],[Bank]])="D1",ROW(dtbBankVXL[[#This Row],[Bank]])-ROW(dtbBankVXL[[#Headers],[Bank]]),"")</f>
        <v/>
      </c>
      <c r="K104" s="38" t="s">
        <v>39</v>
      </c>
      <c r="L104" s="38"/>
      <c r="M104" s="38"/>
      <c r="N104" s="38"/>
      <c r="O104" s="38"/>
      <c r="P104" s="38"/>
      <c r="Q104" s="38"/>
      <c r="R104" s="38"/>
      <c r="S104" s="38"/>
      <c r="T104" s="38"/>
      <c r="U104" s="38"/>
    </row>
    <row r="105" spans="8:21" x14ac:dyDescent="0.25">
      <c r="H105" t="str">
        <f t="shared" ca="1" si="2"/>
        <v/>
      </c>
      <c r="I105">
        <f ca="1">COUNT(J$14:J105)</f>
        <v>16</v>
      </c>
      <c r="J105" t="str" cm="1">
        <f t="array" aca="1" ref="J105" ca="1">IF(CELL("format",dtbBankVXL[[#This Row],[Bank]])="D1",ROW(dtbBankVXL[[#This Row],[Bank]])-ROW(dtbBankVXL[[#Headers],[Bank]]),"")</f>
        <v/>
      </c>
      <c r="K105" s="38" t="s">
        <v>53</v>
      </c>
      <c r="L105" s="38"/>
      <c r="M105" s="38"/>
      <c r="N105" s="38"/>
      <c r="O105" s="38"/>
      <c r="P105" s="38"/>
      <c r="Q105" s="38"/>
      <c r="R105" s="38"/>
      <c r="S105" s="38"/>
      <c r="T105" s="38"/>
      <c r="U105" s="38"/>
    </row>
    <row r="106" spans="8:21" x14ac:dyDescent="0.25">
      <c r="H106" t="str">
        <f t="shared" ca="1" si="2"/>
        <v/>
      </c>
      <c r="I106">
        <f ca="1">COUNT(J$14:J106)</f>
        <v>16</v>
      </c>
      <c r="J106" t="str" cm="1">
        <f t="array" aca="1" ref="J106" ca="1">IF(CELL("format",dtbBankVXL[[#This Row],[Bank]])="D1",ROW(dtbBankVXL[[#This Row],[Bank]])-ROW(dtbBankVXL[[#Headers],[Bank]]),"")</f>
        <v/>
      </c>
      <c r="K106" s="38" t="s">
        <v>52</v>
      </c>
      <c r="L106" s="38"/>
      <c r="M106" s="38"/>
      <c r="N106" s="38"/>
      <c r="O106" s="38"/>
      <c r="P106" s="38"/>
      <c r="Q106" s="38"/>
      <c r="R106" s="38"/>
      <c r="S106" s="38"/>
      <c r="T106" s="38"/>
      <c r="U106" s="38"/>
    </row>
    <row r="107" spans="8:21" x14ac:dyDescent="0.25">
      <c r="H107" t="str">
        <f t="shared" ca="1" si="2"/>
        <v/>
      </c>
      <c r="I107">
        <f ca="1">COUNT(J$14:J107)</f>
        <v>16</v>
      </c>
      <c r="J107" t="str" cm="1">
        <f t="array" aca="1" ref="J107" ca="1">IF(CELL("format",dtbBankVXL[[#This Row],[Bank]])="D1",ROW(dtbBankVXL[[#This Row],[Bank]])-ROW(dtbBankVXL[[#Headers],[Bank]]),"")</f>
        <v/>
      </c>
      <c r="K107" s="39">
        <v>-1120</v>
      </c>
      <c r="L107" s="38"/>
      <c r="M107" s="38"/>
      <c r="N107" s="38"/>
      <c r="O107" s="38"/>
      <c r="P107" s="38"/>
      <c r="Q107" s="38"/>
      <c r="R107" s="38"/>
      <c r="S107" s="38"/>
      <c r="T107" s="38"/>
      <c r="U107" s="38"/>
    </row>
    <row r="108" spans="8:21" x14ac:dyDescent="0.25">
      <c r="H108" t="str">
        <f t="shared" ca="1" si="2"/>
        <v/>
      </c>
      <c r="I108">
        <f ca="1">COUNT(J$14:J108)</f>
        <v>16</v>
      </c>
      <c r="J108" t="str" cm="1">
        <f t="array" aca="1" ref="J108" ca="1">IF(CELL("format",dtbBankVXL[[#This Row],[Bank]])="D1",ROW(dtbBankVXL[[#This Row],[Bank]])-ROW(dtbBankVXL[[#Headers],[Bank]]),"")</f>
        <v/>
      </c>
      <c r="K108" s="39">
        <v>25415.25</v>
      </c>
      <c r="L108" s="38"/>
      <c r="M108" s="38"/>
      <c r="N108" s="38"/>
      <c r="O108" s="38"/>
      <c r="P108" s="38"/>
      <c r="Q108" s="38"/>
      <c r="R108" s="38"/>
      <c r="S108" s="38"/>
      <c r="T108" s="38"/>
      <c r="U108" s="38"/>
    </row>
    <row r="109" spans="8:21" x14ac:dyDescent="0.25">
      <c r="H109" t="b">
        <f t="shared" ca="1" si="2"/>
        <v>0</v>
      </c>
      <c r="I109">
        <f ca="1">COUNT(J$14:J109)</f>
        <v>17</v>
      </c>
      <c r="J109" cm="1">
        <f t="array" aca="1" ref="J109" ca="1">IF(CELL("format",dtbBankVXL[[#This Row],[Bank]])="D1",ROW(dtbBankVXL[[#This Row],[Bank]])-ROW(dtbBankVXL[[#Headers],[Bank]]),"")</f>
        <v>95</v>
      </c>
      <c r="K109" s="40">
        <v>45238</v>
      </c>
      <c r="L109" s="38"/>
      <c r="M109" s="38"/>
      <c r="N109" s="38"/>
      <c r="O109" s="38"/>
      <c r="P109" s="38"/>
      <c r="Q109" s="38"/>
      <c r="R109" s="38"/>
      <c r="S109" s="38"/>
      <c r="T109" s="38"/>
      <c r="U109" s="38"/>
    </row>
    <row r="110" spans="8:21" x14ac:dyDescent="0.25">
      <c r="H110" t="str">
        <f t="shared" ca="1" si="2"/>
        <v/>
      </c>
      <c r="I110">
        <f ca="1">COUNT(J$14:J110)</f>
        <v>17</v>
      </c>
      <c r="J110" t="str" cm="1">
        <f t="array" aca="1" ref="J110" ca="1">IF(CELL("format",dtbBankVXL[[#This Row],[Bank]])="D1",ROW(dtbBankVXL[[#This Row],[Bank]])-ROW(dtbBankVXL[[#Headers],[Bank]]),"")</f>
        <v/>
      </c>
      <c r="K110" s="38" t="s">
        <v>39</v>
      </c>
      <c r="L110" s="38"/>
      <c r="M110" s="38"/>
      <c r="N110" s="38"/>
      <c r="O110" s="38"/>
      <c r="P110" s="38"/>
      <c r="Q110" s="38"/>
      <c r="R110" s="38"/>
      <c r="S110" s="38"/>
      <c r="T110" s="38"/>
      <c r="U110" s="38"/>
    </row>
    <row r="111" spans="8:21" x14ac:dyDescent="0.25">
      <c r="H111" t="str">
        <f t="shared" ca="1" si="2"/>
        <v/>
      </c>
      <c r="I111">
        <f ca="1">COUNT(J$14:J111)</f>
        <v>17</v>
      </c>
      <c r="J111" t="str" cm="1">
        <f t="array" aca="1" ref="J111" ca="1">IF(CELL("format",dtbBankVXL[[#This Row],[Bank]])="D1",ROW(dtbBankVXL[[#This Row],[Bank]])-ROW(dtbBankVXL[[#Headers],[Bank]]),"")</f>
        <v/>
      </c>
      <c r="K111" s="38" t="s">
        <v>51</v>
      </c>
      <c r="L111" s="38"/>
      <c r="M111" s="38"/>
      <c r="N111" s="38"/>
      <c r="O111" s="38"/>
      <c r="P111" s="38"/>
      <c r="Q111" s="38"/>
      <c r="R111" s="38"/>
      <c r="S111" s="38"/>
      <c r="T111" s="38"/>
      <c r="U111" s="38"/>
    </row>
    <row r="112" spans="8:21" x14ac:dyDescent="0.25">
      <c r="H112" t="str">
        <f t="shared" ca="1" si="2"/>
        <v/>
      </c>
      <c r="I112">
        <f ca="1">COUNT(J$14:J112)</f>
        <v>17</v>
      </c>
      <c r="J112" t="str" cm="1">
        <f t="array" aca="1" ref="J112" ca="1">IF(CELL("format",dtbBankVXL[[#This Row],[Bank]])="D1",ROW(dtbBankVXL[[#This Row],[Bank]])-ROW(dtbBankVXL[[#Headers],[Bank]]),"")</f>
        <v/>
      </c>
      <c r="K112" s="38" t="s">
        <v>50</v>
      </c>
      <c r="L112" s="38"/>
      <c r="M112" s="38"/>
      <c r="N112" s="38"/>
      <c r="O112" s="38"/>
      <c r="P112" s="38"/>
      <c r="Q112" s="38"/>
      <c r="R112" s="38"/>
      <c r="S112" s="38"/>
      <c r="T112" s="38"/>
      <c r="U112" s="38"/>
    </row>
    <row r="113" spans="8:21" x14ac:dyDescent="0.25">
      <c r="H113" t="str">
        <f t="shared" ca="1" si="2"/>
        <v/>
      </c>
      <c r="I113">
        <f ca="1">COUNT(J$14:J113)</f>
        <v>17</v>
      </c>
      <c r="J113" t="str" cm="1">
        <f t="array" aca="1" ref="J113" ca="1">IF(CELL("format",dtbBankVXL[[#This Row],[Bank]])="D1",ROW(dtbBankVXL[[#This Row],[Bank]])-ROW(dtbBankVXL[[#Headers],[Bank]]),"")</f>
        <v/>
      </c>
      <c r="K113" s="39">
        <v>240</v>
      </c>
      <c r="L113" s="38"/>
      <c r="M113" s="38"/>
      <c r="N113" s="38"/>
      <c r="O113" s="38"/>
      <c r="P113" s="38"/>
      <c r="Q113" s="38"/>
      <c r="R113" s="38"/>
      <c r="S113" s="38"/>
      <c r="T113" s="38"/>
      <c r="U113" s="38"/>
    </row>
    <row r="114" spans="8:21" x14ac:dyDescent="0.25">
      <c r="H114" t="str">
        <f t="shared" ca="1" si="2"/>
        <v/>
      </c>
      <c r="I114">
        <f ca="1">COUNT(J$14:J114)</f>
        <v>17</v>
      </c>
      <c r="J114" t="str" cm="1">
        <f t="array" aca="1" ref="J114" ca="1">IF(CELL("format",dtbBankVXL[[#This Row],[Bank]])="D1",ROW(dtbBankVXL[[#This Row],[Bank]])-ROW(dtbBankVXL[[#Headers],[Bank]]),"")</f>
        <v/>
      </c>
      <c r="K114" s="39">
        <v>24295.25</v>
      </c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8:21" x14ac:dyDescent="0.25">
      <c r="H115" t="b">
        <f t="shared" ca="1" si="2"/>
        <v>0</v>
      </c>
      <c r="I115">
        <f ca="1">COUNT(J$14:J115)</f>
        <v>18</v>
      </c>
      <c r="J115" cm="1">
        <f t="array" aca="1" ref="J115" ca="1">IF(CELL("format",dtbBankVXL[[#This Row],[Bank]])="D1",ROW(dtbBankVXL[[#This Row],[Bank]])-ROW(dtbBankVXL[[#Headers],[Bank]]),"")</f>
        <v>101</v>
      </c>
      <c r="K115" s="40">
        <v>45236</v>
      </c>
      <c r="L115" s="38"/>
      <c r="M115" s="38"/>
      <c r="N115" s="38"/>
      <c r="O115" s="38"/>
      <c r="P115" s="38"/>
      <c r="Q115" s="38"/>
      <c r="R115" s="38"/>
      <c r="S115" s="38"/>
      <c r="T115" s="38"/>
      <c r="U115" s="38"/>
    </row>
    <row r="116" spans="8:21" x14ac:dyDescent="0.25">
      <c r="H116" t="str">
        <f t="shared" ca="1" si="2"/>
        <v/>
      </c>
      <c r="I116">
        <f ca="1">COUNT(J$14:J116)</f>
        <v>18</v>
      </c>
      <c r="J116" t="str" cm="1">
        <f t="array" aca="1" ref="J116" ca="1">IF(CELL("format",dtbBankVXL[[#This Row],[Bank]])="D1",ROW(dtbBankVXL[[#This Row],[Bank]])-ROW(dtbBankVXL[[#Headers],[Bank]]),"")</f>
        <v/>
      </c>
      <c r="K116" s="38" t="s">
        <v>39</v>
      </c>
      <c r="L116" s="38"/>
      <c r="M116" s="38"/>
      <c r="N116" s="38"/>
      <c r="O116" s="38"/>
      <c r="P116" s="38"/>
      <c r="Q116" s="38"/>
      <c r="R116" s="38"/>
      <c r="S116" s="38"/>
      <c r="T116" s="38"/>
      <c r="U116" s="38"/>
    </row>
    <row r="117" spans="8:21" x14ac:dyDescent="0.25">
      <c r="H117" t="str">
        <f t="shared" ca="1" si="2"/>
        <v/>
      </c>
      <c r="I117">
        <f ca="1">COUNT(J$14:J117)</f>
        <v>18</v>
      </c>
      <c r="J117" t="str" cm="1">
        <f t="array" aca="1" ref="J117" ca="1">IF(CELL("format",dtbBankVXL[[#This Row],[Bank]])="D1",ROW(dtbBankVXL[[#This Row],[Bank]])-ROW(dtbBankVXL[[#Headers],[Bank]]),"")</f>
        <v/>
      </c>
      <c r="K117" s="38" t="s">
        <v>49</v>
      </c>
      <c r="L117" s="38"/>
      <c r="M117" s="38"/>
      <c r="N117" s="38"/>
      <c r="O117" s="38"/>
      <c r="P117" s="38"/>
      <c r="Q117" s="38"/>
      <c r="R117" s="38"/>
      <c r="S117" s="38"/>
      <c r="T117" s="38"/>
      <c r="U117" s="38"/>
    </row>
    <row r="118" spans="8:21" x14ac:dyDescent="0.25">
      <c r="H118" t="str">
        <f t="shared" ca="1" si="2"/>
        <v/>
      </c>
      <c r="I118">
        <f ca="1">COUNT(J$14:J118)</f>
        <v>18</v>
      </c>
      <c r="J118" t="str" cm="1">
        <f t="array" aca="1" ref="J118" ca="1">IF(CELL("format",dtbBankVXL[[#This Row],[Bank]])="D1",ROW(dtbBankVXL[[#This Row],[Bank]])-ROW(dtbBankVXL[[#Headers],[Bank]]),"")</f>
        <v/>
      </c>
      <c r="K118" s="38" t="s">
        <v>48</v>
      </c>
      <c r="L118" s="38"/>
      <c r="M118" s="38"/>
      <c r="N118" s="38"/>
      <c r="O118" s="38"/>
      <c r="P118" s="38"/>
      <c r="Q118" s="38"/>
      <c r="R118" s="38"/>
      <c r="S118" s="38"/>
      <c r="T118" s="38"/>
      <c r="U118" s="38"/>
    </row>
    <row r="119" spans="8:21" x14ac:dyDescent="0.25">
      <c r="H119" t="str">
        <f t="shared" ca="1" si="2"/>
        <v/>
      </c>
      <c r="I119">
        <f ca="1">COUNT(J$14:J119)</f>
        <v>18</v>
      </c>
      <c r="J119" t="str" cm="1">
        <f t="array" aca="1" ref="J119" ca="1">IF(CELL("format",dtbBankVXL[[#This Row],[Bank]])="D1",ROW(dtbBankVXL[[#This Row],[Bank]])-ROW(dtbBankVXL[[#Headers],[Bank]]),"")</f>
        <v/>
      </c>
      <c r="K119" s="39">
        <v>200</v>
      </c>
      <c r="L119" s="38"/>
      <c r="M119" s="38"/>
      <c r="N119" s="38"/>
      <c r="O119" s="38"/>
      <c r="P119" s="38"/>
      <c r="Q119" s="38"/>
      <c r="R119" s="38"/>
      <c r="S119" s="38"/>
      <c r="T119" s="38"/>
      <c r="U119" s="38"/>
    </row>
    <row r="120" spans="8:21" x14ac:dyDescent="0.25">
      <c r="H120" t="str">
        <f t="shared" ca="1" si="2"/>
        <v/>
      </c>
      <c r="I120">
        <f ca="1">COUNT(J$14:J120)</f>
        <v>18</v>
      </c>
      <c r="J120" t="str" cm="1">
        <f t="array" aca="1" ref="J120" ca="1">IF(CELL("format",dtbBankVXL[[#This Row],[Bank]])="D1",ROW(dtbBankVXL[[#This Row],[Bank]])-ROW(dtbBankVXL[[#Headers],[Bank]]),"")</f>
        <v/>
      </c>
      <c r="K120" s="39">
        <v>24535.25</v>
      </c>
      <c r="L120" s="38"/>
      <c r="M120" s="38"/>
      <c r="N120" s="38"/>
      <c r="O120" s="38"/>
      <c r="P120" s="38"/>
      <c r="Q120" s="38"/>
      <c r="R120" s="38"/>
      <c r="S120" s="38"/>
      <c r="T120" s="38"/>
      <c r="U120" s="38"/>
    </row>
    <row r="121" spans="8:21" x14ac:dyDescent="0.25">
      <c r="H121" t="b">
        <f t="shared" ca="1" si="2"/>
        <v>0</v>
      </c>
      <c r="I121">
        <f ca="1">COUNT(J$14:J121)</f>
        <v>19</v>
      </c>
      <c r="J121" cm="1">
        <f t="array" aca="1" ref="J121" ca="1">IF(CELL("format",dtbBankVXL[[#This Row],[Bank]])="D1",ROW(dtbBankVXL[[#This Row],[Bank]])-ROW(dtbBankVXL[[#Headers],[Bank]]),"")</f>
        <v>107</v>
      </c>
      <c r="K121" s="40">
        <v>45236</v>
      </c>
      <c r="L121" s="38"/>
      <c r="M121" s="38"/>
      <c r="N121" s="38"/>
      <c r="O121" s="38"/>
      <c r="P121" s="38"/>
      <c r="Q121" s="38"/>
      <c r="R121" s="38"/>
      <c r="S121" s="38"/>
      <c r="T121" s="38"/>
      <c r="U121" s="38"/>
    </row>
    <row r="122" spans="8:21" x14ac:dyDescent="0.25">
      <c r="H122" t="str">
        <f t="shared" ca="1" si="2"/>
        <v/>
      </c>
      <c r="I122">
        <f ca="1">COUNT(J$14:J122)</f>
        <v>19</v>
      </c>
      <c r="J122" t="str" cm="1">
        <f t="array" aca="1" ref="J122" ca="1">IF(CELL("format",dtbBankVXL[[#This Row],[Bank]])="D1",ROW(dtbBankVXL[[#This Row],[Bank]])-ROW(dtbBankVXL[[#Headers],[Bank]]),"")</f>
        <v/>
      </c>
      <c r="K122" s="38" t="s">
        <v>39</v>
      </c>
      <c r="L122" s="38"/>
      <c r="M122" s="38"/>
      <c r="N122" s="38"/>
      <c r="O122" s="38"/>
      <c r="P122" s="38"/>
      <c r="Q122" s="38"/>
      <c r="R122" s="38"/>
      <c r="S122" s="38"/>
      <c r="T122" s="38"/>
      <c r="U122" s="38"/>
    </row>
    <row r="123" spans="8:21" x14ac:dyDescent="0.25">
      <c r="H123" t="str">
        <f t="shared" ca="1" si="2"/>
        <v/>
      </c>
      <c r="I123">
        <f ca="1">COUNT(J$14:J123)</f>
        <v>19</v>
      </c>
      <c r="J123" t="str" cm="1">
        <f t="array" aca="1" ref="J123" ca="1">IF(CELL("format",dtbBankVXL[[#This Row],[Bank]])="D1",ROW(dtbBankVXL[[#This Row],[Bank]])-ROW(dtbBankVXL[[#Headers],[Bank]]),"")</f>
        <v/>
      </c>
      <c r="K123" s="38" t="s">
        <v>47</v>
      </c>
      <c r="L123" s="38"/>
      <c r="M123" s="38"/>
      <c r="N123" s="38"/>
      <c r="O123" s="38"/>
      <c r="P123" s="38"/>
      <c r="Q123" s="38"/>
      <c r="R123" s="38"/>
      <c r="S123" s="38"/>
      <c r="T123" s="38"/>
      <c r="U123" s="38"/>
    </row>
    <row r="124" spans="8:21" x14ac:dyDescent="0.25">
      <c r="H124" t="str">
        <f t="shared" ca="1" si="2"/>
        <v/>
      </c>
      <c r="I124">
        <f ca="1">COUNT(J$14:J124)</f>
        <v>19</v>
      </c>
      <c r="J124" t="str" cm="1">
        <f t="array" aca="1" ref="J124" ca="1">IF(CELL("format",dtbBankVXL[[#This Row],[Bank]])="D1",ROW(dtbBankVXL[[#This Row],[Bank]])-ROW(dtbBankVXL[[#Headers],[Bank]]),"")</f>
        <v/>
      </c>
      <c r="K124" s="38" t="s">
        <v>46</v>
      </c>
      <c r="L124" s="38"/>
      <c r="M124" s="38"/>
      <c r="N124" s="38"/>
      <c r="O124" s="38"/>
      <c r="P124" s="38"/>
      <c r="Q124" s="38"/>
      <c r="R124" s="38"/>
      <c r="S124" s="38"/>
      <c r="T124" s="38"/>
      <c r="U124" s="38"/>
    </row>
    <row r="125" spans="8:21" x14ac:dyDescent="0.25">
      <c r="H125" t="str">
        <f t="shared" ca="1" si="2"/>
        <v/>
      </c>
      <c r="I125">
        <f ca="1">COUNT(J$14:J125)</f>
        <v>19</v>
      </c>
      <c r="J125" t="str" cm="1">
        <f t="array" aca="1" ref="J125" ca="1">IF(CELL("format",dtbBankVXL[[#This Row],[Bank]])="D1",ROW(dtbBankVXL[[#This Row],[Bank]])-ROW(dtbBankVXL[[#Headers],[Bank]]),"")</f>
        <v/>
      </c>
      <c r="K125" s="39">
        <v>200</v>
      </c>
      <c r="L125" s="38"/>
      <c r="M125" s="38"/>
      <c r="N125" s="38"/>
      <c r="O125" s="38"/>
      <c r="P125" s="38"/>
      <c r="Q125" s="38"/>
      <c r="R125" s="38"/>
      <c r="S125" s="38"/>
      <c r="T125" s="38"/>
      <c r="U125" s="38"/>
    </row>
    <row r="126" spans="8:21" x14ac:dyDescent="0.25">
      <c r="H126" t="str">
        <f t="shared" ca="1" si="2"/>
        <v/>
      </c>
      <c r="I126">
        <f ca="1">COUNT(J$14:J126)</f>
        <v>19</v>
      </c>
      <c r="J126" t="str" cm="1">
        <f t="array" aca="1" ref="J126" ca="1">IF(CELL("format",dtbBankVXL[[#This Row],[Bank]])="D1",ROW(dtbBankVXL[[#This Row],[Bank]])-ROW(dtbBankVXL[[#Headers],[Bank]]),"")</f>
        <v/>
      </c>
      <c r="K126" s="39">
        <v>24735.25</v>
      </c>
      <c r="L126" s="38"/>
      <c r="M126" s="38"/>
      <c r="N126" s="38"/>
      <c r="O126" s="38"/>
      <c r="P126" s="38"/>
      <c r="Q126" s="38"/>
      <c r="R126" s="38"/>
      <c r="S126" s="38"/>
      <c r="T126" s="38"/>
      <c r="U126" s="38"/>
    </row>
    <row r="127" spans="8:21" x14ac:dyDescent="0.25">
      <c r="H127" t="b">
        <f t="shared" ca="1" si="2"/>
        <v>0</v>
      </c>
      <c r="I127">
        <f ca="1">COUNT(J$14:J127)</f>
        <v>20</v>
      </c>
      <c r="J127" cm="1">
        <f t="array" aca="1" ref="J127" ca="1">IF(CELL("format",dtbBankVXL[[#This Row],[Bank]])="D1",ROW(dtbBankVXL[[#This Row],[Bank]])-ROW(dtbBankVXL[[#Headers],[Bank]]),"")</f>
        <v>113</v>
      </c>
      <c r="K127" s="40">
        <v>45236</v>
      </c>
      <c r="L127" s="38"/>
      <c r="M127" s="38"/>
      <c r="N127" s="38"/>
      <c r="O127" s="38"/>
      <c r="P127" s="38"/>
      <c r="Q127" s="38"/>
      <c r="R127" s="38"/>
      <c r="S127" s="38"/>
      <c r="T127" s="38"/>
      <c r="U127" s="38"/>
    </row>
    <row r="128" spans="8:21" x14ac:dyDescent="0.25">
      <c r="H128" t="str">
        <f t="shared" ca="1" si="2"/>
        <v/>
      </c>
      <c r="I128">
        <f ca="1">COUNT(J$14:J128)</f>
        <v>20</v>
      </c>
      <c r="J128" t="str" cm="1">
        <f t="array" aca="1" ref="J128" ca="1">IF(CELL("format",dtbBankVXL[[#This Row],[Bank]])="D1",ROW(dtbBankVXL[[#This Row],[Bank]])-ROW(dtbBankVXL[[#Headers],[Bank]]),"")</f>
        <v/>
      </c>
      <c r="K128" s="38" t="s">
        <v>39</v>
      </c>
      <c r="L128" s="38"/>
      <c r="M128" s="38"/>
      <c r="N128" s="38"/>
      <c r="O128" s="38"/>
      <c r="P128" s="38"/>
      <c r="Q128" s="38"/>
      <c r="R128" s="38"/>
      <c r="S128" s="38"/>
      <c r="T128" s="38"/>
      <c r="U128" s="38"/>
    </row>
    <row r="129" spans="8:21" x14ac:dyDescent="0.25">
      <c r="H129" t="str">
        <f t="shared" ca="1" si="2"/>
        <v/>
      </c>
      <c r="I129">
        <f ca="1">COUNT(J$14:J129)</f>
        <v>20</v>
      </c>
      <c r="J129" t="str" cm="1">
        <f t="array" aca="1" ref="J129" ca="1">IF(CELL("format",dtbBankVXL[[#This Row],[Bank]])="D1",ROW(dtbBankVXL[[#This Row],[Bank]])-ROW(dtbBankVXL[[#Headers],[Bank]]),"")</f>
        <v/>
      </c>
      <c r="K129" s="38" t="s">
        <v>45</v>
      </c>
      <c r="L129" s="38"/>
      <c r="M129" s="38"/>
      <c r="N129" s="38"/>
      <c r="O129" s="38"/>
      <c r="P129" s="38"/>
      <c r="Q129" s="38"/>
      <c r="R129" s="38"/>
      <c r="S129" s="38"/>
      <c r="T129" s="38"/>
      <c r="U129" s="38"/>
    </row>
    <row r="130" spans="8:21" x14ac:dyDescent="0.25">
      <c r="H130" t="str">
        <f t="shared" ca="1" si="2"/>
        <v/>
      </c>
      <c r="I130">
        <f ca="1">COUNT(J$14:J130)</f>
        <v>20</v>
      </c>
      <c r="J130" t="str" cm="1">
        <f t="array" aca="1" ref="J130" ca="1">IF(CELL("format",dtbBankVXL[[#This Row],[Bank]])="D1",ROW(dtbBankVXL[[#This Row],[Bank]])-ROW(dtbBankVXL[[#Headers],[Bank]]),"")</f>
        <v/>
      </c>
      <c r="K130" s="38" t="s">
        <v>44</v>
      </c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8:21" x14ac:dyDescent="0.25">
      <c r="H131" t="str">
        <f t="shared" ca="1" si="2"/>
        <v/>
      </c>
      <c r="I131">
        <f ca="1">COUNT(J$14:J131)</f>
        <v>20</v>
      </c>
      <c r="J131" t="str" cm="1">
        <f t="array" aca="1" ref="J131" ca="1">IF(CELL("format",dtbBankVXL[[#This Row],[Bank]])="D1",ROW(dtbBankVXL[[#This Row],[Bank]])-ROW(dtbBankVXL[[#Headers],[Bank]]),"")</f>
        <v/>
      </c>
      <c r="K131" s="39">
        <v>200</v>
      </c>
      <c r="L131" s="38"/>
      <c r="M131" s="38"/>
      <c r="N131" s="38"/>
      <c r="O131" s="38"/>
      <c r="P131" s="38"/>
      <c r="Q131" s="38"/>
      <c r="R131" s="38"/>
      <c r="S131" s="38"/>
      <c r="T131" s="38"/>
      <c r="U131" s="38"/>
    </row>
    <row r="132" spans="8:21" x14ac:dyDescent="0.25">
      <c r="H132" t="str">
        <f t="shared" ca="1" si="2"/>
        <v/>
      </c>
      <c r="I132">
        <f ca="1">COUNT(J$14:J132)</f>
        <v>20</v>
      </c>
      <c r="J132" t="str" cm="1">
        <f t="array" aca="1" ref="J132" ca="1">IF(CELL("format",dtbBankVXL[[#This Row],[Bank]])="D1",ROW(dtbBankVXL[[#This Row],[Bank]])-ROW(dtbBankVXL[[#Headers],[Bank]]),"")</f>
        <v/>
      </c>
      <c r="K132" s="39">
        <v>24935.25</v>
      </c>
      <c r="L132" s="38"/>
      <c r="M132" s="38"/>
      <c r="N132" s="38"/>
      <c r="O132" s="38"/>
      <c r="P132" s="38"/>
      <c r="Q132" s="38"/>
      <c r="R132" s="38"/>
      <c r="S132" s="38"/>
      <c r="T132" s="38"/>
      <c r="U132" s="38"/>
    </row>
    <row r="133" spans="8:21" x14ac:dyDescent="0.25">
      <c r="H133" t="b">
        <f t="shared" ca="1" si="2"/>
        <v>0</v>
      </c>
      <c r="I133">
        <f ca="1">COUNT(J$14:J133)</f>
        <v>21</v>
      </c>
      <c r="J133" cm="1">
        <f t="array" aca="1" ref="J133" ca="1">IF(CELL("format",dtbBankVXL[[#This Row],[Bank]])="D1",ROW(dtbBankVXL[[#This Row],[Bank]])-ROW(dtbBankVXL[[#Headers],[Bank]]),"")</f>
        <v>119</v>
      </c>
      <c r="K133" s="40">
        <v>45233</v>
      </c>
      <c r="L133" s="38"/>
      <c r="M133" s="38"/>
      <c r="N133" s="38"/>
      <c r="O133" s="38"/>
      <c r="P133" s="38"/>
      <c r="Q133" s="38"/>
      <c r="R133" s="38"/>
      <c r="S133" s="38"/>
      <c r="T133" s="38"/>
      <c r="U133" s="38"/>
    </row>
    <row r="134" spans="8:21" x14ac:dyDescent="0.25">
      <c r="H134" t="str">
        <f t="shared" ca="1" si="2"/>
        <v/>
      </c>
      <c r="I134">
        <f ca="1">COUNT(J$14:J134)</f>
        <v>21</v>
      </c>
      <c r="J134" t="str" cm="1">
        <f t="array" aca="1" ref="J134" ca="1">IF(CELL("format",dtbBankVXL[[#This Row],[Bank]])="D1",ROW(dtbBankVXL[[#This Row],[Bank]])-ROW(dtbBankVXL[[#Headers],[Bank]]),"")</f>
        <v/>
      </c>
      <c r="K134" s="38" t="s">
        <v>39</v>
      </c>
      <c r="L134" s="38"/>
      <c r="M134" s="38"/>
      <c r="N134" s="38"/>
      <c r="O134" s="38"/>
      <c r="P134" s="38"/>
      <c r="Q134" s="38"/>
      <c r="R134" s="38"/>
      <c r="S134" s="38"/>
      <c r="T134" s="38"/>
      <c r="U134" s="38"/>
    </row>
    <row r="135" spans="8:21" x14ac:dyDescent="0.25">
      <c r="H135" t="str">
        <f t="shared" ca="1" si="2"/>
        <v/>
      </c>
      <c r="I135">
        <f ca="1">COUNT(J$14:J135)</f>
        <v>21</v>
      </c>
      <c r="J135" t="str" cm="1">
        <f t="array" aca="1" ref="J135" ca="1">IF(CELL("format",dtbBankVXL[[#This Row],[Bank]])="D1",ROW(dtbBankVXL[[#This Row],[Bank]])-ROW(dtbBankVXL[[#Headers],[Bank]]),"")</f>
        <v/>
      </c>
      <c r="K135" s="38" t="s">
        <v>43</v>
      </c>
      <c r="L135" s="38"/>
      <c r="M135" s="38"/>
      <c r="N135" s="38"/>
      <c r="O135" s="38"/>
      <c r="P135" s="38"/>
      <c r="Q135" s="38"/>
      <c r="R135" s="38"/>
      <c r="S135" s="38"/>
      <c r="T135" s="38"/>
      <c r="U135" s="38"/>
    </row>
    <row r="136" spans="8:21" x14ac:dyDescent="0.25">
      <c r="H136" t="str">
        <f t="shared" ca="1" si="2"/>
        <v/>
      </c>
      <c r="I136">
        <f ca="1">COUNT(J$14:J136)</f>
        <v>21</v>
      </c>
      <c r="J136" t="str" cm="1">
        <f t="array" aca="1" ref="J136" ca="1">IF(CELL("format",dtbBankVXL[[#This Row],[Bank]])="D1",ROW(dtbBankVXL[[#This Row],[Bank]])-ROW(dtbBankVXL[[#Headers],[Bank]]),"")</f>
        <v/>
      </c>
      <c r="K136" s="41" t="s">
        <v>42</v>
      </c>
      <c r="L136" s="38"/>
      <c r="M136" s="38"/>
      <c r="N136" s="38"/>
      <c r="O136" s="38"/>
      <c r="P136" s="38"/>
      <c r="Q136" s="38"/>
      <c r="R136" s="38"/>
      <c r="S136" s="38"/>
      <c r="T136" s="38"/>
      <c r="U136" s="38"/>
    </row>
    <row r="137" spans="8:21" x14ac:dyDescent="0.25">
      <c r="H137" t="str">
        <f t="shared" ca="1" si="2"/>
        <v/>
      </c>
      <c r="I137">
        <f ca="1">COUNT(J$14:J137)</f>
        <v>21</v>
      </c>
      <c r="J137" t="str" cm="1">
        <f t="array" aca="1" ref="J137" ca="1">IF(CELL("format",dtbBankVXL[[#This Row],[Bank]])="D1",ROW(dtbBankVXL[[#This Row],[Bank]])-ROW(dtbBankVXL[[#Headers],[Bank]]),"")</f>
        <v/>
      </c>
      <c r="K137" s="39">
        <v>200</v>
      </c>
      <c r="L137" s="38"/>
      <c r="M137" s="38"/>
      <c r="N137" s="38"/>
      <c r="O137" s="38"/>
      <c r="P137" s="38"/>
      <c r="Q137" s="38"/>
      <c r="R137" s="38"/>
      <c r="S137" s="38"/>
      <c r="T137" s="38"/>
      <c r="U137" s="38"/>
    </row>
    <row r="138" spans="8:21" x14ac:dyDescent="0.25">
      <c r="H138" t="str">
        <f t="shared" ca="1" si="2"/>
        <v/>
      </c>
      <c r="I138">
        <f ca="1">COUNT(J$14:J138)</f>
        <v>21</v>
      </c>
      <c r="J138" t="str" cm="1">
        <f t="array" aca="1" ref="J138" ca="1">IF(CELL("format",dtbBankVXL[[#This Row],[Bank]])="D1",ROW(dtbBankVXL[[#This Row],[Bank]])-ROW(dtbBankVXL[[#Headers],[Bank]]),"")</f>
        <v/>
      </c>
      <c r="K138" s="39">
        <v>25135.25</v>
      </c>
      <c r="L138" s="38"/>
      <c r="M138" s="38"/>
      <c r="N138" s="38"/>
      <c r="O138" s="38"/>
      <c r="P138" s="38"/>
      <c r="Q138" s="38"/>
      <c r="R138" s="38"/>
      <c r="S138" s="38"/>
      <c r="T138" s="38"/>
      <c r="U138" s="38"/>
    </row>
    <row r="139" spans="8:21" x14ac:dyDescent="0.25">
      <c r="H139" t="b">
        <f t="shared" ca="1" si="2"/>
        <v>0</v>
      </c>
      <c r="I139">
        <f ca="1">COUNT(J$14:J139)</f>
        <v>22</v>
      </c>
      <c r="J139" cm="1">
        <f t="array" aca="1" ref="J139" ca="1">IF(CELL("format",dtbBankVXL[[#This Row],[Bank]])="D1",ROW(dtbBankVXL[[#This Row],[Bank]])-ROW(dtbBankVXL[[#Headers],[Bank]]),"")</f>
        <v>125</v>
      </c>
      <c r="K139" s="40">
        <v>45233</v>
      </c>
      <c r="L139" s="38"/>
      <c r="M139" s="38"/>
      <c r="N139" s="38"/>
      <c r="O139" s="38"/>
      <c r="P139" s="38"/>
      <c r="Q139" s="38"/>
      <c r="R139" s="38"/>
      <c r="S139" s="38"/>
      <c r="T139" s="38"/>
      <c r="U139" s="38"/>
    </row>
    <row r="140" spans="8:21" x14ac:dyDescent="0.25">
      <c r="H140" t="str">
        <f t="shared" ca="1" si="2"/>
        <v/>
      </c>
      <c r="I140">
        <f ca="1">COUNT(J$14:J140)</f>
        <v>22</v>
      </c>
      <c r="J140" t="str" cm="1">
        <f t="array" aca="1" ref="J140" ca="1">IF(CELL("format",dtbBankVXL[[#This Row],[Bank]])="D1",ROW(dtbBankVXL[[#This Row],[Bank]])-ROW(dtbBankVXL[[#Headers],[Bank]]),"")</f>
        <v/>
      </c>
      <c r="K140" s="38" t="s">
        <v>39</v>
      </c>
      <c r="L140" s="38"/>
      <c r="M140" s="38"/>
      <c r="N140" s="38"/>
      <c r="O140" s="38"/>
      <c r="P140" s="38"/>
      <c r="Q140" s="38"/>
      <c r="R140" s="38"/>
      <c r="S140" s="38"/>
      <c r="T140" s="38"/>
      <c r="U140" s="38"/>
    </row>
    <row r="141" spans="8:21" x14ac:dyDescent="0.25">
      <c r="H141" t="str">
        <f t="shared" ca="1" si="2"/>
        <v/>
      </c>
      <c r="I141">
        <f ca="1">COUNT(J$14:J141)</f>
        <v>22</v>
      </c>
      <c r="J141" t="str" cm="1">
        <f t="array" aca="1" ref="J141" ca="1">IF(CELL("format",dtbBankVXL[[#This Row],[Bank]])="D1",ROW(dtbBankVXL[[#This Row],[Bank]])-ROW(dtbBankVXL[[#Headers],[Bank]]),"")</f>
        <v/>
      </c>
      <c r="K141" s="38" t="s">
        <v>41</v>
      </c>
      <c r="L141" s="38"/>
      <c r="M141" s="38"/>
      <c r="N141" s="38"/>
      <c r="O141" s="38"/>
      <c r="P141" s="38"/>
      <c r="Q141" s="38"/>
      <c r="R141" s="38"/>
      <c r="S141" s="38"/>
      <c r="T141" s="38"/>
      <c r="U141" s="38"/>
    </row>
    <row r="142" spans="8:21" x14ac:dyDescent="0.25">
      <c r="H142" t="str">
        <f t="shared" ca="1" si="2"/>
        <v/>
      </c>
      <c r="I142">
        <f ca="1">COUNT(J$14:J142)</f>
        <v>22</v>
      </c>
      <c r="J142" t="str" cm="1">
        <f t="array" aca="1" ref="J142" ca="1">IF(CELL("format",dtbBankVXL[[#This Row],[Bank]])="D1",ROW(dtbBankVXL[[#This Row],[Bank]])-ROW(dtbBankVXL[[#Headers],[Bank]]),"")</f>
        <v/>
      </c>
      <c r="K142" s="38" t="s">
        <v>40</v>
      </c>
      <c r="L142" s="38"/>
      <c r="M142" s="38"/>
      <c r="N142" s="38"/>
      <c r="O142" s="38"/>
      <c r="P142" s="38"/>
      <c r="Q142" s="38"/>
      <c r="R142" s="38"/>
      <c r="S142" s="38"/>
      <c r="T142" s="38"/>
      <c r="U142" s="38"/>
    </row>
    <row r="143" spans="8:21" x14ac:dyDescent="0.25">
      <c r="H143" t="str">
        <f t="shared" ca="1" si="2"/>
        <v/>
      </c>
      <c r="I143">
        <f ca="1">COUNT(J$14:J143)</f>
        <v>22</v>
      </c>
      <c r="J143" t="str" cm="1">
        <f t="array" aca="1" ref="J143" ca="1">IF(CELL("format",dtbBankVXL[[#This Row],[Bank]])="D1",ROW(dtbBankVXL[[#This Row],[Bank]])-ROW(dtbBankVXL[[#Headers],[Bank]]),"")</f>
        <v/>
      </c>
      <c r="K143" s="39">
        <v>100</v>
      </c>
      <c r="L143" s="38"/>
      <c r="M143" s="38"/>
      <c r="N143" s="38"/>
      <c r="O143" s="38"/>
      <c r="P143" s="38"/>
      <c r="Q143" s="38"/>
      <c r="R143" s="38"/>
      <c r="S143" s="38"/>
      <c r="T143" s="38"/>
      <c r="U143" s="38"/>
    </row>
    <row r="144" spans="8:21" x14ac:dyDescent="0.25">
      <c r="H144" t="str">
        <f t="shared" ca="1" si="2"/>
        <v/>
      </c>
      <c r="I144">
        <f ca="1">COUNT(J$14:J144)</f>
        <v>22</v>
      </c>
      <c r="J144" t="str" cm="1">
        <f t="array" aca="1" ref="J144" ca="1">IF(CELL("format",dtbBankVXL[[#This Row],[Bank]])="D1",ROW(dtbBankVXL[[#This Row],[Bank]])-ROW(dtbBankVXL[[#Headers],[Bank]]),"")</f>
        <v/>
      </c>
      <c r="K144" s="39">
        <v>25335.25</v>
      </c>
      <c r="L144" s="38"/>
      <c r="M144" s="38"/>
      <c r="N144" s="38"/>
      <c r="O144" s="38"/>
      <c r="P144" s="38"/>
      <c r="Q144" s="38"/>
      <c r="R144" s="38"/>
      <c r="S144" s="38"/>
      <c r="T144" s="38"/>
      <c r="U144" s="38"/>
    </row>
    <row r="145" spans="8:21" x14ac:dyDescent="0.25">
      <c r="H145" t="b">
        <f t="shared" ca="1" si="2"/>
        <v>0</v>
      </c>
      <c r="I145">
        <f ca="1">COUNT(J$14:J145)</f>
        <v>23</v>
      </c>
      <c r="J145" cm="1">
        <f t="array" aca="1" ref="J145" ca="1">IF(CELL("format",dtbBankVXL[[#This Row],[Bank]])="D1",ROW(dtbBankVXL[[#This Row],[Bank]])-ROW(dtbBankVXL[[#Headers],[Bank]]),"")</f>
        <v>131</v>
      </c>
      <c r="K145" s="40">
        <v>45231</v>
      </c>
      <c r="L145" s="38"/>
      <c r="M145" s="38"/>
      <c r="N145" s="38"/>
      <c r="O145" s="38"/>
      <c r="P145" s="38"/>
      <c r="Q145" s="38"/>
      <c r="R145" s="38"/>
      <c r="S145" s="38"/>
      <c r="T145" s="38"/>
      <c r="U145" s="38"/>
    </row>
    <row r="146" spans="8:21" x14ac:dyDescent="0.25">
      <c r="H146" t="str">
        <f t="shared" ca="1" si="2"/>
        <v/>
      </c>
      <c r="I146">
        <f ca="1">COUNT(J$14:J146)</f>
        <v>23</v>
      </c>
      <c r="J146" t="str" cm="1">
        <f t="array" aca="1" ref="J146" ca="1">IF(CELL("format",dtbBankVXL[[#This Row],[Bank]])="D1",ROW(dtbBankVXL[[#This Row],[Bank]])-ROW(dtbBankVXL[[#Headers],[Bank]]),"")</f>
        <v/>
      </c>
      <c r="K146" s="38" t="s">
        <v>39</v>
      </c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8:21" x14ac:dyDescent="0.25">
      <c r="H147" t="str">
        <f t="shared" ca="1" si="2"/>
        <v/>
      </c>
      <c r="I147">
        <f ca="1">COUNT(J$14:J147)</f>
        <v>23</v>
      </c>
      <c r="J147" t="str" cm="1">
        <f t="array" aca="1" ref="J147" ca="1">IF(CELL("format",dtbBankVXL[[#This Row],[Bank]])="D1",ROW(dtbBankVXL[[#This Row],[Bank]])-ROW(dtbBankVXL[[#Headers],[Bank]]),"")</f>
        <v/>
      </c>
      <c r="K147" s="38" t="s">
        <v>38</v>
      </c>
      <c r="L147" s="38"/>
      <c r="M147" s="38"/>
      <c r="N147" s="38"/>
      <c r="O147" s="38"/>
      <c r="P147" s="38"/>
      <c r="Q147" s="38"/>
      <c r="R147" s="38"/>
      <c r="S147" s="38"/>
      <c r="T147" s="38"/>
      <c r="U147" s="38"/>
    </row>
    <row r="148" spans="8:21" x14ac:dyDescent="0.25">
      <c r="H148" t="str">
        <f t="shared" ca="1" si="2"/>
        <v/>
      </c>
      <c r="I148">
        <f ca="1">COUNT(J$14:J148)</f>
        <v>23</v>
      </c>
      <c r="J148" t="str" cm="1">
        <f t="array" aca="1" ref="J148" ca="1">IF(CELL("format",dtbBankVXL[[#This Row],[Bank]])="D1",ROW(dtbBankVXL[[#This Row],[Bank]])-ROW(dtbBankVXL[[#Headers],[Bank]]),"")</f>
        <v/>
      </c>
      <c r="K148" s="38" t="s">
        <v>37</v>
      </c>
      <c r="L148" s="38"/>
      <c r="M148" s="38"/>
      <c r="N148" s="38"/>
      <c r="O148" s="38"/>
      <c r="P148" s="38"/>
      <c r="Q148" s="38"/>
      <c r="R148" s="38"/>
      <c r="S148" s="38"/>
      <c r="T148" s="38"/>
      <c r="U148" s="38"/>
    </row>
    <row r="149" spans="8:21" x14ac:dyDescent="0.25">
      <c r="H149" t="str">
        <f t="shared" ca="1" si="2"/>
        <v/>
      </c>
      <c r="I149">
        <f ca="1">COUNT(J$14:J149)</f>
        <v>23</v>
      </c>
      <c r="J149" t="str" cm="1">
        <f t="array" aca="1" ref="J149" ca="1">IF(CELL("format",dtbBankVXL[[#This Row],[Bank]])="D1",ROW(dtbBankVXL[[#This Row],[Bank]])-ROW(dtbBankVXL[[#Headers],[Bank]]),"")</f>
        <v/>
      </c>
      <c r="K149" s="39">
        <v>20</v>
      </c>
      <c r="L149" s="38"/>
      <c r="M149" s="38"/>
      <c r="N149" s="38"/>
      <c r="O149" s="38"/>
      <c r="P149" s="38"/>
      <c r="Q149" s="38"/>
      <c r="R149" s="38"/>
      <c r="S149" s="38"/>
      <c r="T149" s="38"/>
      <c r="U149" s="38"/>
    </row>
    <row r="150" spans="8:21" x14ac:dyDescent="0.25">
      <c r="H150" t="str">
        <f t="shared" ca="1" si="2"/>
        <v/>
      </c>
      <c r="I150">
        <f ca="1">COUNT(J$14:J150)</f>
        <v>23</v>
      </c>
      <c r="J150" t="str" cm="1">
        <f t="array" aca="1" ref="J150" ca="1">IF(CELL("format",dtbBankVXL[[#This Row],[Bank]])="D1",ROW(dtbBankVXL[[#This Row],[Bank]])-ROW(dtbBankVXL[[#Headers],[Bank]]),"")</f>
        <v/>
      </c>
      <c r="K150" s="39">
        <v>25435.25</v>
      </c>
      <c r="L150" s="38"/>
    </row>
    <row r="151" spans="8:21" x14ac:dyDescent="0.25">
      <c r="L151" s="38"/>
    </row>
    <row r="152" spans="8:21" x14ac:dyDescent="0.25">
      <c r="L152" s="3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0" tint="-4.9989318521683403E-2"/>
  </sheetPr>
  <dimension ref="K10:S152"/>
  <sheetViews>
    <sheetView topLeftCell="K11" workbookViewId="0">
      <pane xSplit="1" ySplit="4" topLeftCell="L15" activePane="bottomRight" state="frozen"/>
      <selection activeCell="P59" sqref="P59"/>
      <selection pane="topRight" activeCell="P59" sqref="P59"/>
      <selection pane="bottomLeft" activeCell="P59" sqref="P59"/>
      <selection pane="bottomRight" activeCell="P26" sqref="P26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3.1796875" bestFit="1" customWidth="1"/>
    <col min="14" max="14" width="12.90625" bestFit="1" customWidth="1"/>
    <col min="15" max="15" width="18.90625" bestFit="1" customWidth="1"/>
    <col min="16" max="16" width="23.1796875" bestFit="1" customWidth="1"/>
    <col min="17" max="17" width="12.81640625" bestFit="1" customWidth="1"/>
    <col min="18" max="18" width="10.1796875" bestFit="1" customWidth="1"/>
    <col min="19" max="19" width="1.81640625" customWidth="1"/>
  </cols>
  <sheetData>
    <row r="10" spans="11:19" ht="10.75" thickBot="1" x14ac:dyDescent="0.3"/>
    <row r="11" spans="11:19" ht="15.45" x14ac:dyDescent="0.25">
      <c r="K11" s="32" t="s">
        <v>95</v>
      </c>
      <c r="L11" s="33"/>
      <c r="M11" s="33"/>
      <c r="N11" s="33"/>
      <c r="O11" s="33"/>
      <c r="P11" s="33"/>
      <c r="Q11" s="33"/>
      <c r="R11" s="33"/>
      <c r="S11" s="87"/>
    </row>
    <row r="12" spans="11:19" ht="15.45" x14ac:dyDescent="0.25">
      <c r="K12" s="34" t="s">
        <v>104</v>
      </c>
      <c r="L12" s="35"/>
      <c r="M12" s="35"/>
      <c r="N12" s="35"/>
      <c r="O12" s="35"/>
      <c r="P12" s="35"/>
      <c r="Q12" s="35"/>
      <c r="R12" s="35"/>
      <c r="S12" s="88"/>
    </row>
    <row r="13" spans="11:19" ht="12.45" x14ac:dyDescent="0.3">
      <c r="K13" s="36" t="s">
        <v>88</v>
      </c>
      <c r="L13" s="35"/>
      <c r="M13" s="91" t="s">
        <v>87</v>
      </c>
      <c r="N13" s="35"/>
      <c r="O13" s="35"/>
      <c r="P13" s="35"/>
      <c r="Q13" s="35"/>
      <c r="R13" s="35"/>
      <c r="S13" s="88"/>
    </row>
    <row r="14" spans="11:19" ht="10.75" thickBot="1" x14ac:dyDescent="0.3">
      <c r="K14" s="97" t="s">
        <v>86</v>
      </c>
      <c r="L14" s="37"/>
      <c r="M14" s="37" t="s">
        <v>85</v>
      </c>
      <c r="N14" s="37" t="s">
        <v>84</v>
      </c>
      <c r="O14" s="37" t="s">
        <v>83</v>
      </c>
      <c r="P14" s="37" t="s">
        <v>82</v>
      </c>
      <c r="Q14" s="90" t="s">
        <v>81</v>
      </c>
      <c r="R14" s="90" t="s">
        <v>80</v>
      </c>
      <c r="S14" s="89" t="s">
        <v>34</v>
      </c>
    </row>
    <row r="15" spans="11:19" x14ac:dyDescent="0.25">
      <c r="K15" s="40">
        <v>45289</v>
      </c>
      <c r="L15" s="38"/>
      <c r="M15" s="77">
        <v>45289</v>
      </c>
      <c r="N15" t="s">
        <v>69</v>
      </c>
      <c r="O15" t="s">
        <v>68</v>
      </c>
      <c r="Q15" s="78">
        <v>8.5</v>
      </c>
      <c r="R15" s="78">
        <v>9769.2999999999993</v>
      </c>
    </row>
    <row r="16" spans="11:19" x14ac:dyDescent="0.25">
      <c r="K16" s="38" t="s">
        <v>69</v>
      </c>
      <c r="L16" s="38"/>
      <c r="M16" s="77">
        <v>45280</v>
      </c>
      <c r="N16" t="s">
        <v>39</v>
      </c>
      <c r="O16" t="s">
        <v>79</v>
      </c>
      <c r="P16" t="s">
        <v>78</v>
      </c>
      <c r="Q16" s="78">
        <v>400</v>
      </c>
      <c r="R16" s="78">
        <v>9777.7999999999993</v>
      </c>
    </row>
    <row r="17" spans="11:18" x14ac:dyDescent="0.25">
      <c r="K17" s="38" t="s">
        <v>68</v>
      </c>
      <c r="L17" s="38"/>
      <c r="M17" s="77">
        <v>45278</v>
      </c>
      <c r="N17" t="s">
        <v>39</v>
      </c>
      <c r="O17" t="s">
        <v>77</v>
      </c>
      <c r="P17" t="s">
        <v>76</v>
      </c>
      <c r="Q17" s="78">
        <v>1931.05</v>
      </c>
      <c r="R17" s="78">
        <v>10177.799999999999</v>
      </c>
    </row>
    <row r="18" spans="11:18" x14ac:dyDescent="0.25">
      <c r="K18" s="38"/>
      <c r="L18" s="38"/>
      <c r="M18" s="77">
        <v>45272</v>
      </c>
      <c r="N18" t="s">
        <v>39</v>
      </c>
      <c r="O18" t="s">
        <v>75</v>
      </c>
      <c r="P18" t="s">
        <v>74</v>
      </c>
      <c r="Q18" s="78">
        <v>253.24</v>
      </c>
      <c r="R18" s="78">
        <v>12108.85</v>
      </c>
    </row>
    <row r="19" spans="11:18" x14ac:dyDescent="0.25">
      <c r="K19" s="39">
        <v>8.5</v>
      </c>
      <c r="L19" s="38"/>
      <c r="M19" s="77">
        <v>45268</v>
      </c>
      <c r="N19" t="s">
        <v>62</v>
      </c>
      <c r="O19" t="s">
        <v>61</v>
      </c>
      <c r="P19" t="s">
        <v>73</v>
      </c>
      <c r="Q19" s="78">
        <v>-191.34</v>
      </c>
      <c r="R19" s="78">
        <v>12362.09</v>
      </c>
    </row>
    <row r="20" spans="11:18" x14ac:dyDescent="0.25">
      <c r="K20" s="39">
        <v>9769.2999999999993</v>
      </c>
      <c r="L20" s="38"/>
      <c r="M20" s="77">
        <v>45267</v>
      </c>
      <c r="N20" t="s">
        <v>39</v>
      </c>
      <c r="O20" t="s">
        <v>72</v>
      </c>
      <c r="P20" t="s">
        <v>71</v>
      </c>
      <c r="Q20" s="78">
        <v>250</v>
      </c>
      <c r="R20" s="78">
        <v>12170.75</v>
      </c>
    </row>
    <row r="21" spans="11:18" x14ac:dyDescent="0.25">
      <c r="K21" s="40">
        <v>45280</v>
      </c>
      <c r="L21" s="38"/>
      <c r="M21" s="77">
        <v>45261</v>
      </c>
      <c r="N21" t="s">
        <v>62</v>
      </c>
      <c r="O21" t="s">
        <v>61</v>
      </c>
      <c r="P21" t="s">
        <v>70</v>
      </c>
      <c r="Q21" s="78">
        <v>-28.59</v>
      </c>
      <c r="R21" s="78">
        <v>12420.75</v>
      </c>
    </row>
    <row r="22" spans="11:18" x14ac:dyDescent="0.25">
      <c r="K22" s="38" t="s">
        <v>39</v>
      </c>
      <c r="L22" s="38"/>
      <c r="M22" s="77">
        <v>45260</v>
      </c>
      <c r="N22" t="s">
        <v>69</v>
      </c>
      <c r="O22" t="s">
        <v>68</v>
      </c>
      <c r="Q22" s="78">
        <v>8.5</v>
      </c>
      <c r="R22" s="78">
        <v>12392.16</v>
      </c>
    </row>
    <row r="23" spans="11:18" x14ac:dyDescent="0.25">
      <c r="K23" s="38" t="s">
        <v>79</v>
      </c>
      <c r="L23" s="38"/>
      <c r="M23" s="77">
        <v>45258</v>
      </c>
      <c r="N23" t="s">
        <v>62</v>
      </c>
      <c r="O23" t="s">
        <v>61</v>
      </c>
      <c r="P23" t="s">
        <v>67</v>
      </c>
      <c r="Q23" s="78">
        <v>-191.2</v>
      </c>
      <c r="R23" s="78">
        <v>12400.66</v>
      </c>
    </row>
    <row r="24" spans="11:18" x14ac:dyDescent="0.25">
      <c r="K24" s="38" t="s">
        <v>78</v>
      </c>
      <c r="L24" s="38"/>
      <c r="M24" s="77">
        <v>45257</v>
      </c>
      <c r="N24" t="s">
        <v>66</v>
      </c>
      <c r="O24" t="s">
        <v>65</v>
      </c>
      <c r="P24" t="s">
        <v>64</v>
      </c>
      <c r="Q24" s="78">
        <v>8695.0499999999993</v>
      </c>
      <c r="R24" s="78">
        <v>12209.46</v>
      </c>
    </row>
    <row r="25" spans="11:18" x14ac:dyDescent="0.25">
      <c r="K25" s="39">
        <v>400</v>
      </c>
      <c r="L25" s="38"/>
      <c r="M25" s="77">
        <v>45252</v>
      </c>
      <c r="N25" t="s">
        <v>62</v>
      </c>
      <c r="O25" t="s">
        <v>61</v>
      </c>
      <c r="P25" t="s">
        <v>63</v>
      </c>
      <c r="Q25" s="78">
        <v>-192.54</v>
      </c>
      <c r="R25" s="78">
        <v>20904.509999999998</v>
      </c>
    </row>
    <row r="26" spans="11:18" x14ac:dyDescent="0.25">
      <c r="K26" s="39">
        <v>9777.7999999999993</v>
      </c>
      <c r="L26" s="38"/>
      <c r="M26" s="77">
        <v>45247</v>
      </c>
      <c r="N26" t="s">
        <v>62</v>
      </c>
      <c r="O26" t="s">
        <v>61</v>
      </c>
      <c r="P26" t="s">
        <v>60</v>
      </c>
      <c r="Q26" s="78">
        <v>-614.09</v>
      </c>
      <c r="R26" s="78">
        <v>20711.97</v>
      </c>
    </row>
    <row r="27" spans="11:18" x14ac:dyDescent="0.25">
      <c r="K27" s="40">
        <v>45278</v>
      </c>
      <c r="L27" s="38"/>
      <c r="M27" s="77">
        <v>45244</v>
      </c>
      <c r="N27" t="s">
        <v>39</v>
      </c>
      <c r="O27" t="s">
        <v>59</v>
      </c>
      <c r="P27" t="s">
        <v>58</v>
      </c>
      <c r="Q27" s="78">
        <v>230</v>
      </c>
      <c r="R27" s="78">
        <v>20097.88</v>
      </c>
    </row>
    <row r="28" spans="11:18" x14ac:dyDescent="0.25">
      <c r="K28" s="38" t="s">
        <v>39</v>
      </c>
      <c r="L28" s="38"/>
      <c r="M28" s="77">
        <v>45244</v>
      </c>
      <c r="N28" t="s">
        <v>39</v>
      </c>
      <c r="O28" t="s">
        <v>57</v>
      </c>
      <c r="P28" t="s">
        <v>56</v>
      </c>
      <c r="Q28" s="78">
        <v>200</v>
      </c>
      <c r="R28" s="78">
        <v>20327.88</v>
      </c>
    </row>
    <row r="29" spans="11:18" x14ac:dyDescent="0.25">
      <c r="K29" s="38" t="s">
        <v>77</v>
      </c>
      <c r="L29" s="38"/>
      <c r="M29" s="77">
        <v>45243</v>
      </c>
      <c r="N29" t="s">
        <v>39</v>
      </c>
      <c r="O29" t="s">
        <v>55</v>
      </c>
      <c r="P29" t="s">
        <v>54</v>
      </c>
      <c r="Q29" s="78">
        <v>4887.37</v>
      </c>
      <c r="R29" s="78">
        <v>20527.88</v>
      </c>
    </row>
    <row r="30" spans="11:18" x14ac:dyDescent="0.25">
      <c r="K30" s="38" t="s">
        <v>76</v>
      </c>
      <c r="L30" s="38"/>
      <c r="M30" s="77">
        <v>45243</v>
      </c>
      <c r="N30" t="s">
        <v>39</v>
      </c>
      <c r="O30" t="s">
        <v>53</v>
      </c>
      <c r="P30" t="s">
        <v>52</v>
      </c>
      <c r="Q30" s="78">
        <v>-1120</v>
      </c>
      <c r="R30" s="78">
        <v>25415.25</v>
      </c>
    </row>
    <row r="31" spans="11:18" x14ac:dyDescent="0.25">
      <c r="K31" s="39">
        <v>1931.05</v>
      </c>
      <c r="L31" s="38"/>
      <c r="M31" s="77">
        <v>45238</v>
      </c>
      <c r="N31" t="s">
        <v>39</v>
      </c>
      <c r="O31" t="s">
        <v>51</v>
      </c>
      <c r="P31" t="s">
        <v>50</v>
      </c>
      <c r="Q31" s="78">
        <v>240</v>
      </c>
      <c r="R31" s="78">
        <v>24295.25</v>
      </c>
    </row>
    <row r="32" spans="11:18" x14ac:dyDescent="0.25">
      <c r="K32" s="39">
        <v>10177.799999999999</v>
      </c>
      <c r="L32" s="38"/>
      <c r="M32" s="77">
        <v>45236</v>
      </c>
      <c r="N32" t="s">
        <v>39</v>
      </c>
      <c r="O32" t="s">
        <v>49</v>
      </c>
      <c r="P32" t="s">
        <v>48</v>
      </c>
      <c r="Q32" s="78">
        <v>200</v>
      </c>
      <c r="R32" s="78">
        <v>24535.25</v>
      </c>
    </row>
    <row r="33" spans="11:18" x14ac:dyDescent="0.25">
      <c r="K33" s="40">
        <v>45272</v>
      </c>
      <c r="L33" s="38"/>
      <c r="M33" s="77">
        <v>45236</v>
      </c>
      <c r="N33" t="s">
        <v>39</v>
      </c>
      <c r="O33" t="s">
        <v>47</v>
      </c>
      <c r="P33" t="s">
        <v>46</v>
      </c>
      <c r="Q33" s="78">
        <v>200</v>
      </c>
      <c r="R33" s="78">
        <v>24735.25</v>
      </c>
    </row>
    <row r="34" spans="11:18" x14ac:dyDescent="0.25">
      <c r="K34" s="38" t="s">
        <v>39</v>
      </c>
      <c r="L34" s="38"/>
      <c r="M34" s="77">
        <v>45236</v>
      </c>
      <c r="N34" t="s">
        <v>39</v>
      </c>
      <c r="O34" t="s">
        <v>45</v>
      </c>
      <c r="P34" t="s">
        <v>44</v>
      </c>
      <c r="Q34" s="78">
        <v>200</v>
      </c>
      <c r="R34" s="78">
        <v>24935.25</v>
      </c>
    </row>
    <row r="35" spans="11:18" x14ac:dyDescent="0.25">
      <c r="K35" s="38" t="s">
        <v>75</v>
      </c>
      <c r="L35" s="38"/>
      <c r="M35" s="77">
        <v>45233</v>
      </c>
      <c r="N35" t="s">
        <v>39</v>
      </c>
      <c r="O35" t="s">
        <v>43</v>
      </c>
      <c r="P35" t="s">
        <v>42</v>
      </c>
      <c r="Q35" s="78">
        <v>200</v>
      </c>
      <c r="R35" s="78">
        <v>25135.25</v>
      </c>
    </row>
    <row r="36" spans="11:18" x14ac:dyDescent="0.25">
      <c r="K36" s="38" t="s">
        <v>74</v>
      </c>
      <c r="L36" s="38"/>
      <c r="M36" s="77">
        <v>45233</v>
      </c>
      <c r="N36" t="s">
        <v>39</v>
      </c>
      <c r="O36" t="s">
        <v>41</v>
      </c>
      <c r="P36" t="s">
        <v>40</v>
      </c>
      <c r="Q36" s="78">
        <v>100</v>
      </c>
      <c r="R36" s="78">
        <v>25335.25</v>
      </c>
    </row>
    <row r="37" spans="11:18" x14ac:dyDescent="0.25">
      <c r="K37" s="39">
        <v>253.24</v>
      </c>
      <c r="L37" s="38"/>
      <c r="M37" s="77">
        <v>45231</v>
      </c>
      <c r="N37" t="s">
        <v>39</v>
      </c>
      <c r="O37" t="s">
        <v>38</v>
      </c>
      <c r="P37" t="s">
        <v>37</v>
      </c>
      <c r="Q37" s="78">
        <v>20</v>
      </c>
      <c r="R37" s="78">
        <v>25435.25</v>
      </c>
    </row>
    <row r="38" spans="11:18" x14ac:dyDescent="0.25">
      <c r="K38" s="39">
        <v>12108.85</v>
      </c>
      <c r="L38" s="38"/>
      <c r="M38" s="38"/>
      <c r="N38" s="38"/>
      <c r="O38" s="38"/>
      <c r="P38" s="38"/>
      <c r="Q38" s="38"/>
      <c r="R38" s="38"/>
    </row>
    <row r="39" spans="11:18" x14ac:dyDescent="0.25">
      <c r="K39" s="40">
        <v>45268</v>
      </c>
      <c r="L39" s="38"/>
      <c r="M39" s="38"/>
      <c r="N39" s="38"/>
      <c r="O39" s="38"/>
      <c r="P39" s="38"/>
      <c r="Q39" s="38"/>
      <c r="R39" s="38"/>
    </row>
    <row r="40" spans="11:18" x14ac:dyDescent="0.25">
      <c r="K40" s="38" t="s">
        <v>62</v>
      </c>
      <c r="L40" s="38"/>
      <c r="M40" s="38"/>
      <c r="N40" s="38"/>
      <c r="O40" s="38"/>
      <c r="P40" s="38"/>
      <c r="Q40" s="38"/>
      <c r="R40" s="38"/>
    </row>
    <row r="41" spans="11:18" x14ac:dyDescent="0.25">
      <c r="K41" s="38" t="s">
        <v>61</v>
      </c>
      <c r="L41" s="38"/>
      <c r="M41" s="38"/>
      <c r="N41" s="38"/>
      <c r="O41" s="38"/>
      <c r="P41" s="38"/>
      <c r="Q41" s="38"/>
      <c r="R41" s="38"/>
    </row>
    <row r="42" spans="11:18" x14ac:dyDescent="0.25">
      <c r="K42" s="38" t="s">
        <v>73</v>
      </c>
      <c r="L42" s="38"/>
      <c r="M42" s="38"/>
      <c r="N42" s="38"/>
      <c r="O42" s="38"/>
      <c r="P42" s="38"/>
      <c r="Q42" s="38"/>
      <c r="R42" s="38"/>
    </row>
    <row r="43" spans="11:18" x14ac:dyDescent="0.25">
      <c r="K43" s="39">
        <v>-191.34</v>
      </c>
      <c r="L43" s="38"/>
      <c r="M43" s="38"/>
      <c r="N43" s="38"/>
      <c r="O43" s="38"/>
      <c r="P43" s="38"/>
      <c r="Q43" s="38"/>
      <c r="R43" s="38"/>
    </row>
    <row r="44" spans="11:18" x14ac:dyDescent="0.25">
      <c r="K44" s="39">
        <v>12362.09</v>
      </c>
      <c r="L44" s="38"/>
      <c r="M44" s="38"/>
      <c r="N44" s="38"/>
      <c r="O44" s="38"/>
      <c r="P44" s="38"/>
      <c r="Q44" s="38"/>
      <c r="R44" s="38"/>
    </row>
    <row r="45" spans="11:18" x14ac:dyDescent="0.25">
      <c r="K45" s="40">
        <v>45267</v>
      </c>
      <c r="L45" s="38"/>
      <c r="M45" s="38"/>
      <c r="N45" s="38"/>
      <c r="O45" s="38"/>
      <c r="P45" s="38"/>
      <c r="Q45" s="38"/>
      <c r="R45" s="38"/>
    </row>
    <row r="46" spans="11:18" x14ac:dyDescent="0.25">
      <c r="K46" s="38" t="s">
        <v>39</v>
      </c>
      <c r="L46" s="38"/>
      <c r="M46" s="38"/>
      <c r="N46" s="38"/>
      <c r="O46" s="38"/>
      <c r="P46" s="38"/>
      <c r="Q46" s="38"/>
      <c r="R46" s="38"/>
    </row>
    <row r="47" spans="11:18" x14ac:dyDescent="0.25">
      <c r="K47" s="38" t="s">
        <v>72</v>
      </c>
      <c r="L47" s="38"/>
      <c r="M47" s="38"/>
      <c r="N47" s="38"/>
      <c r="O47" s="38"/>
      <c r="P47" s="38"/>
      <c r="Q47" s="38"/>
      <c r="R47" s="38"/>
    </row>
    <row r="48" spans="11:18" x14ac:dyDescent="0.25">
      <c r="K48" s="38" t="s">
        <v>71</v>
      </c>
      <c r="L48" s="38"/>
      <c r="M48" s="38"/>
      <c r="N48" s="38"/>
      <c r="O48" s="38"/>
      <c r="P48" s="38"/>
      <c r="Q48" s="38"/>
      <c r="R48" s="38"/>
    </row>
    <row r="49" spans="11:18" x14ac:dyDescent="0.25">
      <c r="K49" s="39">
        <v>250</v>
      </c>
      <c r="L49" s="38"/>
      <c r="M49" s="38"/>
      <c r="N49" s="38"/>
      <c r="O49" s="38"/>
      <c r="P49" s="38"/>
      <c r="Q49" s="38"/>
      <c r="R49" s="38"/>
    </row>
    <row r="50" spans="11:18" x14ac:dyDescent="0.25">
      <c r="K50" s="39">
        <v>12170.75</v>
      </c>
      <c r="L50" s="38"/>
      <c r="M50" s="38"/>
      <c r="N50" s="38"/>
      <c r="O50" s="38"/>
      <c r="P50" s="38"/>
      <c r="Q50" s="38"/>
      <c r="R50" s="38"/>
    </row>
    <row r="51" spans="11:18" x14ac:dyDescent="0.25">
      <c r="K51" s="40">
        <v>45261</v>
      </c>
      <c r="L51" s="38"/>
      <c r="M51" s="38"/>
      <c r="N51" s="38"/>
      <c r="O51" s="38"/>
      <c r="P51" s="38"/>
      <c r="Q51" s="38"/>
      <c r="R51" s="38"/>
    </row>
    <row r="52" spans="11:18" x14ac:dyDescent="0.25">
      <c r="K52" s="38" t="s">
        <v>62</v>
      </c>
      <c r="L52" s="38"/>
      <c r="M52" s="38"/>
      <c r="N52" s="38"/>
      <c r="O52" s="38"/>
      <c r="P52" s="38"/>
      <c r="Q52" s="38"/>
      <c r="R52" s="38"/>
    </row>
    <row r="53" spans="11:18" x14ac:dyDescent="0.25">
      <c r="K53" s="38" t="s">
        <v>61</v>
      </c>
      <c r="L53" s="38"/>
      <c r="M53" s="38"/>
      <c r="N53" s="38"/>
      <c r="O53" s="38"/>
      <c r="P53" s="38"/>
      <c r="Q53" s="38"/>
      <c r="R53" s="38"/>
    </row>
    <row r="54" spans="11:18" x14ac:dyDescent="0.25">
      <c r="K54" s="38" t="s">
        <v>70</v>
      </c>
      <c r="L54" s="38"/>
      <c r="M54" s="38"/>
      <c r="N54" s="38"/>
      <c r="O54" s="38"/>
      <c r="P54" s="38"/>
      <c r="Q54" s="38"/>
      <c r="R54" s="38"/>
    </row>
    <row r="55" spans="11:18" x14ac:dyDescent="0.25">
      <c r="K55" s="39">
        <v>-28.59</v>
      </c>
      <c r="L55" s="38"/>
      <c r="M55" s="38"/>
      <c r="N55" s="38"/>
      <c r="O55" s="38"/>
      <c r="P55" s="38"/>
      <c r="Q55" s="38"/>
      <c r="R55" s="38"/>
    </row>
    <row r="56" spans="11:18" x14ac:dyDescent="0.25">
      <c r="K56" s="39">
        <v>12420.75</v>
      </c>
      <c r="L56" s="38"/>
      <c r="M56" s="38"/>
      <c r="N56" s="38"/>
      <c r="O56" s="38"/>
      <c r="P56" s="38"/>
      <c r="Q56" s="38"/>
      <c r="R56" s="38"/>
    </row>
    <row r="57" spans="11:18" x14ac:dyDescent="0.25">
      <c r="K57" s="40">
        <v>45260</v>
      </c>
      <c r="L57" s="38"/>
      <c r="M57" s="38"/>
      <c r="N57" s="38"/>
      <c r="O57" s="38"/>
      <c r="P57" s="38"/>
      <c r="Q57" s="38"/>
      <c r="R57" s="38"/>
    </row>
    <row r="58" spans="11:18" x14ac:dyDescent="0.25">
      <c r="K58" s="38" t="s">
        <v>69</v>
      </c>
      <c r="L58" s="38"/>
      <c r="M58" s="38"/>
      <c r="N58" s="38"/>
      <c r="O58" s="38"/>
      <c r="P58" s="38"/>
      <c r="Q58" s="38"/>
      <c r="R58" s="38"/>
    </row>
    <row r="59" spans="11:18" x14ac:dyDescent="0.25">
      <c r="K59" s="38" t="s">
        <v>68</v>
      </c>
      <c r="L59" s="38"/>
      <c r="M59" s="38"/>
      <c r="N59" s="38"/>
      <c r="O59" s="38"/>
      <c r="P59" s="38"/>
      <c r="Q59" s="38"/>
      <c r="R59" s="38"/>
    </row>
    <row r="60" spans="11:18" x14ac:dyDescent="0.25">
      <c r="K60" s="38"/>
      <c r="L60" s="38"/>
      <c r="M60" s="38"/>
      <c r="N60" s="38"/>
      <c r="O60" s="38"/>
      <c r="P60" s="38"/>
      <c r="Q60" s="38"/>
      <c r="R60" s="38"/>
    </row>
    <row r="61" spans="11:18" x14ac:dyDescent="0.25">
      <c r="K61" s="39">
        <v>8.5</v>
      </c>
      <c r="L61" s="38"/>
      <c r="M61" s="38"/>
      <c r="N61" s="38"/>
      <c r="O61" s="38"/>
      <c r="P61" s="38"/>
      <c r="Q61" s="38"/>
      <c r="R61" s="38"/>
    </row>
    <row r="62" spans="11:18" x14ac:dyDescent="0.25">
      <c r="K62" s="39">
        <v>12392.16</v>
      </c>
      <c r="L62" s="38"/>
      <c r="M62" s="38"/>
      <c r="N62" s="38"/>
      <c r="O62" s="38"/>
      <c r="P62" s="38"/>
      <c r="Q62" s="38"/>
      <c r="R62" s="38"/>
    </row>
    <row r="63" spans="11:18" x14ac:dyDescent="0.25">
      <c r="K63" s="40">
        <v>45258</v>
      </c>
      <c r="L63" s="38"/>
      <c r="M63" s="38"/>
      <c r="N63" s="38"/>
      <c r="O63" s="38"/>
      <c r="P63" s="38"/>
      <c r="Q63" s="38"/>
      <c r="R63" s="38"/>
    </row>
    <row r="64" spans="11:18" x14ac:dyDescent="0.25">
      <c r="K64" s="38" t="s">
        <v>62</v>
      </c>
      <c r="L64" s="38"/>
      <c r="M64" s="38"/>
      <c r="N64" s="38"/>
      <c r="O64" s="38"/>
      <c r="P64" s="38"/>
      <c r="Q64" s="38"/>
      <c r="R64" s="38"/>
    </row>
    <row r="65" spans="11:18" x14ac:dyDescent="0.25">
      <c r="K65" s="38" t="s">
        <v>61</v>
      </c>
      <c r="L65" s="38"/>
      <c r="M65" s="38"/>
      <c r="N65" s="38"/>
      <c r="O65" s="38"/>
      <c r="P65" s="38"/>
      <c r="Q65" s="38"/>
      <c r="R65" s="38"/>
    </row>
    <row r="66" spans="11:18" x14ac:dyDescent="0.25">
      <c r="K66" s="38" t="s">
        <v>67</v>
      </c>
      <c r="L66" s="38"/>
      <c r="M66" s="38"/>
      <c r="N66" s="38"/>
      <c r="O66" s="38"/>
      <c r="P66" s="38"/>
      <c r="Q66" s="38"/>
      <c r="R66" s="38"/>
    </row>
    <row r="67" spans="11:18" x14ac:dyDescent="0.25">
      <c r="K67" s="39">
        <v>-191.2</v>
      </c>
      <c r="L67" s="38"/>
      <c r="M67" s="38"/>
      <c r="N67" s="38"/>
      <c r="O67" s="38"/>
      <c r="P67" s="38"/>
      <c r="Q67" s="38"/>
      <c r="R67" s="38"/>
    </row>
    <row r="68" spans="11:18" x14ac:dyDescent="0.25">
      <c r="K68" s="39">
        <v>12400.66</v>
      </c>
      <c r="L68" s="38"/>
      <c r="M68" s="38"/>
      <c r="N68" s="38"/>
      <c r="O68" s="38"/>
      <c r="P68" s="38"/>
      <c r="Q68" s="38"/>
      <c r="R68" s="38"/>
    </row>
    <row r="69" spans="11:18" x14ac:dyDescent="0.25">
      <c r="K69" s="40">
        <v>45257</v>
      </c>
      <c r="L69" s="38"/>
      <c r="M69" s="38"/>
      <c r="N69" s="38"/>
      <c r="O69" s="38"/>
      <c r="P69" s="38"/>
      <c r="Q69" s="38"/>
      <c r="R69" s="38"/>
    </row>
    <row r="70" spans="11:18" x14ac:dyDescent="0.25">
      <c r="K70" s="38" t="s">
        <v>66</v>
      </c>
      <c r="L70" s="38"/>
      <c r="M70" s="38"/>
      <c r="N70" s="38"/>
      <c r="O70" s="38"/>
      <c r="P70" s="38"/>
      <c r="Q70" s="38"/>
      <c r="R70" s="38"/>
    </row>
    <row r="71" spans="11:18" x14ac:dyDescent="0.25">
      <c r="K71" s="38" t="s">
        <v>65</v>
      </c>
      <c r="L71" s="38"/>
      <c r="M71" s="38"/>
      <c r="N71" s="38"/>
      <c r="O71" s="38"/>
      <c r="P71" s="38"/>
      <c r="Q71" s="38"/>
      <c r="R71" s="38"/>
    </row>
    <row r="72" spans="11:18" x14ac:dyDescent="0.25">
      <c r="K72" s="38" t="s">
        <v>64</v>
      </c>
      <c r="L72" s="38"/>
      <c r="M72" s="38"/>
      <c r="N72" s="38"/>
      <c r="O72" s="38"/>
      <c r="P72" s="38"/>
      <c r="Q72" s="38"/>
      <c r="R72" s="38"/>
    </row>
    <row r="73" spans="11:18" x14ac:dyDescent="0.25">
      <c r="K73" s="39">
        <v>8695.0499999999993</v>
      </c>
      <c r="L73" s="38"/>
      <c r="M73" s="38"/>
      <c r="N73" s="38"/>
      <c r="O73" s="38"/>
      <c r="P73" s="38"/>
      <c r="Q73" s="38"/>
      <c r="R73" s="38"/>
    </row>
    <row r="74" spans="11:18" x14ac:dyDescent="0.25">
      <c r="K74" s="39">
        <v>12209.46</v>
      </c>
      <c r="L74" s="38"/>
      <c r="M74" s="38"/>
      <c r="N74" s="38"/>
      <c r="O74" s="38"/>
      <c r="P74" s="38"/>
      <c r="Q74" s="38"/>
      <c r="R74" s="38"/>
    </row>
    <row r="75" spans="11:18" x14ac:dyDescent="0.25">
      <c r="K75" s="40">
        <v>45252</v>
      </c>
      <c r="L75" s="38"/>
      <c r="M75" s="38"/>
      <c r="N75" s="38"/>
      <c r="O75" s="38"/>
      <c r="P75" s="38"/>
      <c r="Q75" s="38"/>
      <c r="R75" s="38"/>
    </row>
    <row r="76" spans="11:18" x14ac:dyDescent="0.25">
      <c r="K76" s="38" t="s">
        <v>62</v>
      </c>
      <c r="L76" s="38"/>
      <c r="M76" s="38"/>
      <c r="N76" s="38"/>
      <c r="O76" s="38"/>
      <c r="P76" s="38"/>
      <c r="Q76" s="38"/>
      <c r="R76" s="38"/>
    </row>
    <row r="77" spans="11:18" x14ac:dyDescent="0.25">
      <c r="K77" s="38" t="s">
        <v>61</v>
      </c>
      <c r="L77" s="38"/>
      <c r="M77" s="38"/>
      <c r="N77" s="38"/>
      <c r="O77" s="38"/>
      <c r="P77" s="38"/>
      <c r="Q77" s="38"/>
      <c r="R77" s="38"/>
    </row>
    <row r="78" spans="11:18" x14ac:dyDescent="0.25">
      <c r="K78" s="38" t="s">
        <v>63</v>
      </c>
      <c r="L78" s="38"/>
      <c r="M78" s="38"/>
      <c r="N78" s="38"/>
      <c r="O78" s="38"/>
      <c r="P78" s="38"/>
      <c r="Q78" s="38"/>
      <c r="R78" s="38"/>
    </row>
    <row r="79" spans="11:18" x14ac:dyDescent="0.25">
      <c r="K79" s="39">
        <v>-192.54</v>
      </c>
      <c r="L79" s="38"/>
      <c r="M79" s="38"/>
      <c r="N79" s="38"/>
      <c r="O79" s="38"/>
      <c r="P79" s="38"/>
      <c r="Q79" s="38"/>
      <c r="R79" s="38"/>
    </row>
    <row r="80" spans="11:18" x14ac:dyDescent="0.25">
      <c r="K80" s="39">
        <v>20904.509999999998</v>
      </c>
      <c r="L80" s="38"/>
      <c r="M80" s="38"/>
      <c r="N80" s="38"/>
      <c r="O80" s="38"/>
      <c r="P80" s="38"/>
      <c r="Q80" s="38"/>
      <c r="R80" s="38"/>
    </row>
    <row r="81" spans="11:18" x14ac:dyDescent="0.25">
      <c r="K81" s="40">
        <v>45247</v>
      </c>
      <c r="L81" s="38"/>
      <c r="M81" s="38"/>
      <c r="N81" s="38"/>
      <c r="O81" s="38"/>
      <c r="P81" s="38"/>
      <c r="Q81" s="38"/>
      <c r="R81" s="38"/>
    </row>
    <row r="82" spans="11:18" x14ac:dyDescent="0.25">
      <c r="K82" s="38" t="s">
        <v>62</v>
      </c>
      <c r="L82" s="38"/>
      <c r="M82" s="38"/>
      <c r="N82" s="38"/>
      <c r="O82" s="38"/>
      <c r="P82" s="38"/>
      <c r="Q82" s="38"/>
      <c r="R82" s="38"/>
    </row>
    <row r="83" spans="11:18" x14ac:dyDescent="0.25">
      <c r="K83" s="38" t="s">
        <v>61</v>
      </c>
      <c r="L83" s="38"/>
      <c r="M83" s="38"/>
      <c r="N83" s="38"/>
      <c r="O83" s="38"/>
      <c r="P83" s="38"/>
      <c r="Q83" s="38"/>
      <c r="R83" s="38"/>
    </row>
    <row r="84" spans="11:18" x14ac:dyDescent="0.25">
      <c r="K84" s="38" t="s">
        <v>60</v>
      </c>
      <c r="L84" s="38"/>
      <c r="M84" s="38"/>
      <c r="N84" s="38"/>
      <c r="O84" s="38"/>
      <c r="P84" s="38"/>
      <c r="Q84" s="38"/>
      <c r="R84" s="38"/>
    </row>
    <row r="85" spans="11:18" x14ac:dyDescent="0.25">
      <c r="K85" s="39">
        <v>-614.09</v>
      </c>
      <c r="L85" s="38"/>
      <c r="M85" s="38"/>
      <c r="N85" s="38"/>
      <c r="O85" s="38"/>
      <c r="P85" s="38"/>
      <c r="Q85" s="38"/>
      <c r="R85" s="38"/>
    </row>
    <row r="86" spans="11:18" x14ac:dyDescent="0.25">
      <c r="K86" s="39">
        <v>20711.97</v>
      </c>
      <c r="L86" s="38"/>
      <c r="M86" s="38"/>
      <c r="N86" s="38"/>
      <c r="O86" s="38"/>
      <c r="P86" s="38"/>
      <c r="Q86" s="38"/>
      <c r="R86" s="38"/>
    </row>
    <row r="87" spans="11:18" x14ac:dyDescent="0.25">
      <c r="K87" s="40">
        <v>45244</v>
      </c>
      <c r="L87" s="38"/>
      <c r="M87" s="38"/>
      <c r="N87" s="38"/>
      <c r="O87" s="38"/>
      <c r="P87" s="38"/>
      <c r="Q87" s="38"/>
      <c r="R87" s="38"/>
    </row>
    <row r="88" spans="11:18" x14ac:dyDescent="0.25">
      <c r="K88" s="38" t="s">
        <v>39</v>
      </c>
      <c r="L88" s="38"/>
      <c r="M88" s="38"/>
      <c r="N88" s="38"/>
      <c r="O88" s="38"/>
      <c r="P88" s="38"/>
      <c r="Q88" s="38"/>
      <c r="R88" s="38"/>
    </row>
    <row r="89" spans="11:18" x14ac:dyDescent="0.25">
      <c r="K89" s="38" t="s">
        <v>59</v>
      </c>
      <c r="L89" s="38"/>
      <c r="M89" s="38"/>
      <c r="N89" s="38"/>
      <c r="O89" s="38"/>
      <c r="P89" s="38"/>
      <c r="Q89" s="38"/>
      <c r="R89" s="38"/>
    </row>
    <row r="90" spans="11:18" x14ac:dyDescent="0.25">
      <c r="K90" s="38" t="s">
        <v>58</v>
      </c>
      <c r="L90" s="38"/>
      <c r="M90" s="38"/>
      <c r="N90" s="38"/>
      <c r="O90" s="38"/>
      <c r="P90" s="38"/>
      <c r="Q90" s="38"/>
      <c r="R90" s="38"/>
    </row>
    <row r="91" spans="11:18" x14ac:dyDescent="0.25">
      <c r="K91" s="39">
        <v>230</v>
      </c>
      <c r="L91" s="38"/>
      <c r="M91" s="38"/>
      <c r="N91" s="38"/>
      <c r="O91" s="38"/>
      <c r="P91" s="38"/>
      <c r="Q91" s="38"/>
      <c r="R91" s="38"/>
    </row>
    <row r="92" spans="11:18" x14ac:dyDescent="0.25">
      <c r="K92" s="39">
        <v>20097.88</v>
      </c>
      <c r="L92" s="38"/>
      <c r="M92" s="38"/>
      <c r="N92" s="38"/>
      <c r="O92" s="38"/>
      <c r="P92" s="38"/>
      <c r="Q92" s="38"/>
      <c r="R92" s="38"/>
    </row>
    <row r="93" spans="11:18" x14ac:dyDescent="0.25">
      <c r="K93" s="40">
        <v>45244</v>
      </c>
      <c r="L93" s="38"/>
      <c r="M93" s="38"/>
      <c r="N93" s="38"/>
      <c r="O93" s="38"/>
      <c r="P93" s="38"/>
      <c r="Q93" s="38"/>
      <c r="R93" s="38"/>
    </row>
    <row r="94" spans="11:18" x14ac:dyDescent="0.25">
      <c r="K94" s="38" t="s">
        <v>39</v>
      </c>
      <c r="L94" s="38"/>
      <c r="M94" s="38"/>
      <c r="N94" s="38"/>
      <c r="O94" s="38"/>
      <c r="P94" s="38"/>
      <c r="Q94" s="38"/>
      <c r="R94" s="38"/>
    </row>
    <row r="95" spans="11:18" x14ac:dyDescent="0.25">
      <c r="K95" s="38" t="s">
        <v>57</v>
      </c>
      <c r="L95" s="38"/>
      <c r="M95" s="38"/>
      <c r="N95" s="38"/>
      <c r="O95" s="38"/>
      <c r="P95" s="38"/>
      <c r="Q95" s="38"/>
      <c r="R95" s="38"/>
    </row>
    <row r="96" spans="11:18" x14ac:dyDescent="0.25">
      <c r="K96" s="38" t="s">
        <v>56</v>
      </c>
      <c r="L96" s="38"/>
      <c r="M96" s="38"/>
      <c r="N96" s="38"/>
      <c r="O96" s="38"/>
      <c r="P96" s="38"/>
      <c r="Q96" s="38"/>
      <c r="R96" s="38"/>
    </row>
    <row r="97" spans="11:18" x14ac:dyDescent="0.25">
      <c r="K97" s="39">
        <v>200</v>
      </c>
      <c r="L97" s="38"/>
      <c r="M97" s="38"/>
      <c r="N97" s="38"/>
      <c r="O97" s="38"/>
      <c r="P97" s="38"/>
      <c r="Q97" s="38"/>
      <c r="R97" s="38"/>
    </row>
    <row r="98" spans="11:18" x14ac:dyDescent="0.25">
      <c r="K98" s="39">
        <v>20327.88</v>
      </c>
      <c r="L98" s="38"/>
      <c r="M98" s="38"/>
      <c r="N98" s="38"/>
      <c r="O98" s="38"/>
      <c r="P98" s="38"/>
      <c r="Q98" s="38"/>
      <c r="R98" s="38"/>
    </row>
    <row r="99" spans="11:18" x14ac:dyDescent="0.25">
      <c r="K99" s="40">
        <v>45243</v>
      </c>
      <c r="L99" s="38"/>
      <c r="M99" s="38"/>
      <c r="N99" s="38"/>
      <c r="O99" s="38"/>
      <c r="P99" s="38"/>
      <c r="Q99" s="38"/>
      <c r="R99" s="38"/>
    </row>
    <row r="100" spans="11:18" x14ac:dyDescent="0.25">
      <c r="K100" s="38" t="s">
        <v>39</v>
      </c>
      <c r="L100" s="38"/>
      <c r="M100" s="38"/>
      <c r="N100" s="38"/>
      <c r="O100" s="38"/>
      <c r="P100" s="38"/>
      <c r="Q100" s="38"/>
      <c r="R100" s="38"/>
    </row>
    <row r="101" spans="11:18" x14ac:dyDescent="0.25">
      <c r="K101" s="38" t="s">
        <v>55</v>
      </c>
      <c r="L101" s="38"/>
      <c r="M101" s="38"/>
      <c r="N101" s="38"/>
      <c r="O101" s="38"/>
      <c r="P101" s="38"/>
      <c r="Q101" s="38"/>
      <c r="R101" s="38"/>
    </row>
    <row r="102" spans="11:18" x14ac:dyDescent="0.25">
      <c r="K102" s="38" t="s">
        <v>54</v>
      </c>
      <c r="L102" s="38"/>
      <c r="M102" s="38"/>
      <c r="N102" s="38"/>
      <c r="O102" s="38"/>
      <c r="P102" s="38"/>
      <c r="Q102" s="38"/>
      <c r="R102" s="38"/>
    </row>
    <row r="103" spans="11:18" x14ac:dyDescent="0.25">
      <c r="K103" s="39">
        <v>4887.37</v>
      </c>
      <c r="L103" s="38"/>
      <c r="M103" s="38"/>
      <c r="N103" s="38"/>
      <c r="O103" s="38"/>
      <c r="P103" s="38"/>
      <c r="Q103" s="38"/>
      <c r="R103" s="38"/>
    </row>
    <row r="104" spans="11:18" x14ac:dyDescent="0.25">
      <c r="K104" s="39">
        <v>20527.88</v>
      </c>
      <c r="L104" s="38"/>
      <c r="M104" s="38"/>
      <c r="N104" s="38"/>
      <c r="O104" s="38"/>
      <c r="P104" s="38"/>
      <c r="Q104" s="38"/>
      <c r="R104" s="38"/>
    </row>
    <row r="105" spans="11:18" x14ac:dyDescent="0.25">
      <c r="K105" s="40">
        <v>45243</v>
      </c>
      <c r="L105" s="38"/>
      <c r="M105" s="38"/>
      <c r="N105" s="38"/>
      <c r="O105" s="38"/>
      <c r="P105" s="38"/>
      <c r="Q105" s="38"/>
      <c r="R105" s="38"/>
    </row>
    <row r="106" spans="11:18" x14ac:dyDescent="0.25">
      <c r="K106" s="38" t="s">
        <v>39</v>
      </c>
      <c r="L106" s="38"/>
      <c r="M106" s="38"/>
      <c r="N106" s="38"/>
      <c r="O106" s="38"/>
      <c r="P106" s="38"/>
      <c r="Q106" s="38"/>
      <c r="R106" s="38"/>
    </row>
    <row r="107" spans="11:18" x14ac:dyDescent="0.25">
      <c r="K107" s="38" t="s">
        <v>53</v>
      </c>
      <c r="L107" s="38"/>
      <c r="M107" s="38"/>
      <c r="N107" s="38"/>
      <c r="O107" s="38"/>
      <c r="P107" s="38"/>
      <c r="Q107" s="38"/>
      <c r="R107" s="38"/>
    </row>
    <row r="108" spans="11:18" x14ac:dyDescent="0.25">
      <c r="K108" s="38" t="s">
        <v>52</v>
      </c>
      <c r="L108" s="38"/>
      <c r="M108" s="38"/>
      <c r="N108" s="38"/>
      <c r="O108" s="38"/>
      <c r="P108" s="38"/>
      <c r="Q108" s="38"/>
      <c r="R108" s="38"/>
    </row>
    <row r="109" spans="11:18" x14ac:dyDescent="0.25">
      <c r="K109" s="39">
        <v>-1120</v>
      </c>
      <c r="L109" s="38"/>
      <c r="M109" s="38"/>
      <c r="N109" s="38"/>
      <c r="O109" s="38"/>
      <c r="P109" s="38"/>
      <c r="Q109" s="38"/>
      <c r="R109" s="38"/>
    </row>
    <row r="110" spans="11:18" x14ac:dyDescent="0.25">
      <c r="K110" s="39">
        <v>25415.25</v>
      </c>
      <c r="L110" s="38"/>
      <c r="M110" s="38"/>
      <c r="N110" s="38"/>
      <c r="O110" s="38"/>
      <c r="P110" s="38"/>
      <c r="Q110" s="38"/>
      <c r="R110" s="38"/>
    </row>
    <row r="111" spans="11:18" x14ac:dyDescent="0.25">
      <c r="K111" s="40">
        <v>45238</v>
      </c>
      <c r="L111" s="38"/>
      <c r="M111" s="38"/>
      <c r="N111" s="38"/>
      <c r="O111" s="38"/>
      <c r="P111" s="38"/>
      <c r="Q111" s="38"/>
      <c r="R111" s="38"/>
    </row>
    <row r="112" spans="11:18" x14ac:dyDescent="0.25">
      <c r="K112" s="38" t="s">
        <v>39</v>
      </c>
      <c r="L112" s="38"/>
      <c r="M112" s="38"/>
      <c r="N112" s="38"/>
      <c r="O112" s="38"/>
      <c r="P112" s="38"/>
      <c r="Q112" s="38"/>
      <c r="R112" s="38"/>
    </row>
    <row r="113" spans="11:18" x14ac:dyDescent="0.25">
      <c r="K113" s="38" t="s">
        <v>51</v>
      </c>
      <c r="L113" s="38"/>
      <c r="M113" s="38"/>
      <c r="N113" s="38"/>
      <c r="O113" s="38"/>
      <c r="P113" s="38"/>
      <c r="Q113" s="38"/>
      <c r="R113" s="38"/>
    </row>
    <row r="114" spans="11:18" x14ac:dyDescent="0.25">
      <c r="K114" s="38" t="s">
        <v>50</v>
      </c>
      <c r="L114" s="38"/>
      <c r="M114" s="38"/>
      <c r="N114" s="38"/>
      <c r="O114" s="38"/>
      <c r="P114" s="38"/>
      <c r="Q114" s="38"/>
      <c r="R114" s="38"/>
    </row>
    <row r="115" spans="11:18" x14ac:dyDescent="0.25">
      <c r="K115" s="39">
        <v>240</v>
      </c>
      <c r="L115" s="38"/>
      <c r="M115" s="38"/>
      <c r="N115" s="38"/>
      <c r="O115" s="38"/>
      <c r="P115" s="38"/>
      <c r="Q115" s="38"/>
      <c r="R115" s="38"/>
    </row>
    <row r="116" spans="11:18" x14ac:dyDescent="0.25">
      <c r="K116" s="39">
        <v>24295.25</v>
      </c>
      <c r="L116" s="38"/>
      <c r="M116" s="38"/>
      <c r="N116" s="38"/>
      <c r="O116" s="38"/>
      <c r="P116" s="38"/>
      <c r="Q116" s="38"/>
      <c r="R116" s="38"/>
    </row>
    <row r="117" spans="11:18" x14ac:dyDescent="0.25">
      <c r="K117" s="40">
        <v>45236</v>
      </c>
      <c r="L117" s="38"/>
      <c r="M117" s="38"/>
      <c r="N117" s="38"/>
      <c r="O117" s="38"/>
      <c r="P117" s="38"/>
      <c r="Q117" s="38"/>
      <c r="R117" s="38"/>
    </row>
    <row r="118" spans="11:18" x14ac:dyDescent="0.25">
      <c r="K118" s="38" t="s">
        <v>39</v>
      </c>
      <c r="L118" s="38"/>
      <c r="M118" s="38"/>
      <c r="N118" s="38"/>
      <c r="O118" s="38"/>
      <c r="P118" s="38"/>
      <c r="Q118" s="38"/>
      <c r="R118" s="38"/>
    </row>
    <row r="119" spans="11:18" x14ac:dyDescent="0.25">
      <c r="K119" s="38" t="s">
        <v>49</v>
      </c>
      <c r="L119" s="38"/>
      <c r="M119" s="38"/>
      <c r="N119" s="38"/>
      <c r="O119" s="38"/>
      <c r="P119" s="38"/>
      <c r="Q119" s="38"/>
      <c r="R119" s="38"/>
    </row>
    <row r="120" spans="11:18" x14ac:dyDescent="0.25">
      <c r="K120" s="38" t="s">
        <v>48</v>
      </c>
      <c r="L120" s="38"/>
      <c r="M120" s="38"/>
      <c r="N120" s="38"/>
      <c r="O120" s="38"/>
      <c r="P120" s="38"/>
      <c r="Q120" s="38"/>
      <c r="R120" s="38"/>
    </row>
    <row r="121" spans="11:18" x14ac:dyDescent="0.25">
      <c r="K121" s="39">
        <v>200</v>
      </c>
      <c r="L121" s="38"/>
      <c r="M121" s="38"/>
      <c r="N121" s="38"/>
      <c r="O121" s="38"/>
      <c r="P121" s="38"/>
      <c r="Q121" s="38"/>
      <c r="R121" s="38"/>
    </row>
    <row r="122" spans="11:18" x14ac:dyDescent="0.25">
      <c r="K122" s="39">
        <v>24535.25</v>
      </c>
      <c r="L122" s="38"/>
      <c r="M122" s="38"/>
      <c r="N122" s="38"/>
      <c r="O122" s="38"/>
      <c r="P122" s="38"/>
      <c r="Q122" s="38"/>
      <c r="R122" s="38"/>
    </row>
    <row r="123" spans="11:18" x14ac:dyDescent="0.25">
      <c r="K123" s="40">
        <v>45236</v>
      </c>
      <c r="L123" s="38"/>
      <c r="M123" s="38"/>
      <c r="N123" s="38"/>
      <c r="O123" s="38"/>
      <c r="P123" s="38"/>
      <c r="Q123" s="38"/>
      <c r="R123" s="38"/>
    </row>
    <row r="124" spans="11:18" x14ac:dyDescent="0.25">
      <c r="K124" s="38" t="s">
        <v>39</v>
      </c>
      <c r="L124" s="38"/>
      <c r="M124" s="38"/>
      <c r="N124" s="38"/>
      <c r="O124" s="38"/>
      <c r="P124" s="38"/>
      <c r="Q124" s="38"/>
      <c r="R124" s="38"/>
    </row>
    <row r="125" spans="11:18" x14ac:dyDescent="0.25">
      <c r="K125" s="38" t="s">
        <v>47</v>
      </c>
      <c r="L125" s="38"/>
      <c r="M125" s="38"/>
      <c r="N125" s="38"/>
      <c r="O125" s="38"/>
      <c r="P125" s="38"/>
      <c r="Q125" s="38"/>
      <c r="R125" s="38"/>
    </row>
    <row r="126" spans="11:18" x14ac:dyDescent="0.25">
      <c r="K126" s="38" t="s">
        <v>46</v>
      </c>
      <c r="L126" s="38"/>
      <c r="M126" s="38"/>
      <c r="N126" s="38"/>
      <c r="O126" s="38"/>
      <c r="P126" s="38"/>
      <c r="Q126" s="38"/>
      <c r="R126" s="38"/>
    </row>
    <row r="127" spans="11:18" x14ac:dyDescent="0.25">
      <c r="K127" s="39">
        <v>200</v>
      </c>
      <c r="L127" s="38"/>
      <c r="M127" s="38"/>
      <c r="N127" s="38"/>
      <c r="O127" s="38"/>
      <c r="P127" s="38"/>
      <c r="Q127" s="38"/>
      <c r="R127" s="38"/>
    </row>
    <row r="128" spans="11:18" x14ac:dyDescent="0.25">
      <c r="K128" s="39">
        <v>24735.25</v>
      </c>
      <c r="L128" s="38"/>
      <c r="M128" s="38"/>
      <c r="N128" s="38"/>
      <c r="O128" s="38"/>
      <c r="P128" s="38"/>
      <c r="Q128" s="38"/>
      <c r="R128" s="38"/>
    </row>
    <row r="129" spans="11:18" x14ac:dyDescent="0.25">
      <c r="K129" s="40">
        <v>45236</v>
      </c>
      <c r="L129" s="38"/>
      <c r="M129" s="38"/>
      <c r="N129" s="38"/>
      <c r="O129" s="38"/>
      <c r="P129" s="38"/>
      <c r="Q129" s="38"/>
      <c r="R129" s="38"/>
    </row>
    <row r="130" spans="11:18" x14ac:dyDescent="0.25">
      <c r="K130" s="38" t="s">
        <v>39</v>
      </c>
      <c r="L130" s="38"/>
      <c r="M130" s="38"/>
      <c r="N130" s="38"/>
      <c r="O130" s="38"/>
      <c r="P130" s="38"/>
      <c r="Q130" s="38"/>
      <c r="R130" s="38"/>
    </row>
    <row r="131" spans="11:18" x14ac:dyDescent="0.25">
      <c r="K131" s="38" t="s">
        <v>45</v>
      </c>
      <c r="L131" s="38"/>
      <c r="M131" s="38"/>
      <c r="N131" s="38"/>
      <c r="O131" s="38"/>
      <c r="P131" s="38"/>
      <c r="Q131" s="38"/>
      <c r="R131" s="38"/>
    </row>
    <row r="132" spans="11:18" x14ac:dyDescent="0.25">
      <c r="K132" s="38" t="s">
        <v>44</v>
      </c>
      <c r="L132" s="38"/>
      <c r="M132" s="38"/>
      <c r="N132" s="38"/>
      <c r="O132" s="38"/>
      <c r="P132" s="38"/>
      <c r="Q132" s="38"/>
      <c r="R132" s="38"/>
    </row>
    <row r="133" spans="11:18" x14ac:dyDescent="0.25">
      <c r="K133" s="39">
        <v>200</v>
      </c>
      <c r="L133" s="38"/>
      <c r="M133" s="38"/>
      <c r="N133" s="38"/>
      <c r="O133" s="38"/>
      <c r="P133" s="38"/>
      <c r="Q133" s="38"/>
      <c r="R133" s="38"/>
    </row>
    <row r="134" spans="11:18" x14ac:dyDescent="0.25">
      <c r="K134" s="39">
        <v>24935.25</v>
      </c>
      <c r="L134" s="38"/>
      <c r="M134" s="38"/>
      <c r="N134" s="38"/>
      <c r="O134" s="38"/>
      <c r="P134" s="38"/>
      <c r="Q134" s="38"/>
      <c r="R134" s="38"/>
    </row>
    <row r="135" spans="11:18" x14ac:dyDescent="0.25">
      <c r="K135" s="40">
        <v>45233</v>
      </c>
      <c r="L135" s="38"/>
      <c r="M135" s="38"/>
      <c r="N135" s="38"/>
      <c r="O135" s="38"/>
      <c r="P135" s="38"/>
      <c r="Q135" s="38"/>
      <c r="R135" s="38"/>
    </row>
    <row r="136" spans="11:18" x14ac:dyDescent="0.25">
      <c r="K136" s="38" t="s">
        <v>39</v>
      </c>
      <c r="L136" s="38"/>
      <c r="M136" s="38"/>
      <c r="N136" s="38"/>
      <c r="O136" s="38"/>
      <c r="P136" s="38"/>
      <c r="Q136" s="38"/>
      <c r="R136" s="38"/>
    </row>
    <row r="137" spans="11:18" x14ac:dyDescent="0.25">
      <c r="K137" s="38" t="s">
        <v>43</v>
      </c>
      <c r="L137" s="38"/>
      <c r="M137" s="38"/>
      <c r="N137" s="38"/>
      <c r="O137" s="38"/>
      <c r="P137" s="38"/>
      <c r="Q137" s="38"/>
      <c r="R137" s="38"/>
    </row>
    <row r="138" spans="11:18" x14ac:dyDescent="0.25">
      <c r="K138" s="41" t="s">
        <v>42</v>
      </c>
      <c r="L138" s="38"/>
      <c r="M138" s="38"/>
      <c r="N138" s="38"/>
      <c r="O138" s="38"/>
      <c r="P138" s="38"/>
      <c r="Q138" s="38"/>
      <c r="R138" s="38"/>
    </row>
    <row r="139" spans="11:18" x14ac:dyDescent="0.25">
      <c r="K139" s="39">
        <v>200</v>
      </c>
      <c r="L139" s="38"/>
      <c r="M139" s="38"/>
      <c r="N139" s="38"/>
      <c r="O139" s="38"/>
      <c r="P139" s="38"/>
      <c r="Q139" s="38"/>
      <c r="R139" s="38"/>
    </row>
    <row r="140" spans="11:18" x14ac:dyDescent="0.25">
      <c r="K140" s="39">
        <v>25135.25</v>
      </c>
      <c r="L140" s="38"/>
      <c r="M140" s="38"/>
      <c r="N140" s="38"/>
      <c r="O140" s="38"/>
      <c r="P140" s="38"/>
      <c r="Q140" s="38"/>
      <c r="R140" s="38"/>
    </row>
    <row r="141" spans="11:18" x14ac:dyDescent="0.25">
      <c r="K141" s="40">
        <v>45233</v>
      </c>
      <c r="L141" s="38"/>
      <c r="M141" s="38"/>
      <c r="N141" s="38"/>
      <c r="O141" s="38"/>
      <c r="P141" s="38"/>
      <c r="Q141" s="38"/>
      <c r="R141" s="38"/>
    </row>
    <row r="142" spans="11:18" x14ac:dyDescent="0.25">
      <c r="K142" s="38" t="s">
        <v>39</v>
      </c>
      <c r="L142" s="38"/>
      <c r="M142" s="38"/>
      <c r="N142" s="38"/>
      <c r="O142" s="38"/>
      <c r="P142" s="38"/>
      <c r="Q142" s="38"/>
      <c r="R142" s="38"/>
    </row>
    <row r="143" spans="11:18" x14ac:dyDescent="0.25">
      <c r="K143" s="38" t="s">
        <v>41</v>
      </c>
      <c r="L143" s="38"/>
      <c r="M143" s="38"/>
      <c r="N143" s="38"/>
      <c r="O143" s="38"/>
      <c r="P143" s="38"/>
      <c r="Q143" s="38"/>
      <c r="R143" s="38"/>
    </row>
    <row r="144" spans="11:18" x14ac:dyDescent="0.25">
      <c r="K144" s="38" t="s">
        <v>40</v>
      </c>
      <c r="L144" s="38"/>
      <c r="M144" s="38"/>
      <c r="N144" s="38"/>
      <c r="O144" s="38"/>
      <c r="P144" s="38"/>
      <c r="Q144" s="38"/>
      <c r="R144" s="38"/>
    </row>
    <row r="145" spans="11:18" x14ac:dyDescent="0.25">
      <c r="K145" s="39">
        <v>100</v>
      </c>
      <c r="L145" s="38"/>
      <c r="M145" s="38"/>
      <c r="N145" s="38"/>
      <c r="O145" s="38"/>
      <c r="P145" s="38"/>
      <c r="Q145" s="38"/>
      <c r="R145" s="38"/>
    </row>
    <row r="146" spans="11:18" x14ac:dyDescent="0.25">
      <c r="K146" s="39">
        <v>25335.25</v>
      </c>
      <c r="L146" s="38"/>
      <c r="M146" s="38"/>
      <c r="N146" s="38"/>
      <c r="O146" s="38"/>
      <c r="P146" s="38"/>
      <c r="Q146" s="38"/>
      <c r="R146" s="38"/>
    </row>
    <row r="147" spans="11:18" x14ac:dyDescent="0.25">
      <c r="K147" s="40">
        <v>45231</v>
      </c>
      <c r="L147" s="38"/>
      <c r="M147" s="38"/>
      <c r="N147" s="38"/>
      <c r="O147" s="38"/>
      <c r="P147" s="38"/>
      <c r="Q147" s="38"/>
      <c r="R147" s="38"/>
    </row>
    <row r="148" spans="11:18" x14ac:dyDescent="0.25">
      <c r="K148" s="38" t="s">
        <v>39</v>
      </c>
      <c r="L148" s="38"/>
      <c r="M148" s="38"/>
      <c r="N148" s="38"/>
      <c r="O148" s="38"/>
      <c r="P148" s="38"/>
      <c r="Q148" s="38"/>
      <c r="R148" s="38"/>
    </row>
    <row r="149" spans="11:18" x14ac:dyDescent="0.25">
      <c r="K149" s="38" t="s">
        <v>38</v>
      </c>
      <c r="L149" s="38"/>
      <c r="M149" s="38"/>
      <c r="N149" s="38"/>
      <c r="O149" s="38"/>
      <c r="P149" s="38"/>
      <c r="Q149" s="38"/>
      <c r="R149" s="38"/>
    </row>
    <row r="150" spans="11:18" x14ac:dyDescent="0.25">
      <c r="K150" s="38" t="s">
        <v>37</v>
      </c>
      <c r="L150" s="38"/>
      <c r="M150" s="38"/>
      <c r="N150" s="38"/>
      <c r="O150" s="38"/>
      <c r="P150" s="38"/>
      <c r="Q150" s="38"/>
      <c r="R150" s="38"/>
    </row>
    <row r="151" spans="11:18" x14ac:dyDescent="0.25">
      <c r="K151" s="39">
        <v>20</v>
      </c>
      <c r="L151" s="38"/>
      <c r="M151" s="38"/>
      <c r="N151" s="38"/>
      <c r="O151" s="38"/>
      <c r="P151" s="38"/>
      <c r="Q151" s="38"/>
      <c r="R151" s="38"/>
    </row>
    <row r="152" spans="11:18" x14ac:dyDescent="0.25">
      <c r="K152" s="39">
        <v>25435.25</v>
      </c>
      <c r="L152" s="38"/>
      <c r="M152" s="38"/>
      <c r="N152" s="38"/>
      <c r="O152" s="38"/>
      <c r="P152" s="38"/>
      <c r="Q152" s="38"/>
      <c r="R152" s="3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8AAC3-4886-4812-93B3-3C10DE3EE5B5}">
  <sheetPr codeName="Sheet3">
    <tabColor theme="0" tint="-4.9989318521683403E-2"/>
  </sheetPr>
  <dimension ref="K10:S152"/>
  <sheetViews>
    <sheetView topLeftCell="K11" workbookViewId="0">
      <pane xSplit="1" ySplit="3" topLeftCell="L14" activePane="bottomRight" state="frozen"/>
      <selection activeCell="P59" sqref="P59"/>
      <selection pane="topRight" activeCell="P59" sqref="P59"/>
      <selection pane="bottomLeft" activeCell="P59" sqref="P59"/>
      <selection pane="bottomRight" activeCell="M15" sqref="M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81640625" bestFit="1" customWidth="1"/>
    <col min="15" max="15" width="18.81640625" bestFit="1" customWidth="1"/>
    <col min="16" max="16" width="29.26953125" bestFit="1" customWidth="1"/>
    <col min="17" max="17" width="12.26953125" bestFit="1" customWidth="1"/>
    <col min="18" max="18" width="9.6328125" bestFit="1" customWidth="1"/>
    <col min="19" max="19" width="1.6328125" customWidth="1"/>
    <col min="22" max="22" width="9.7265625" bestFit="1" customWidth="1"/>
    <col min="23" max="23" width="10.81640625" bestFit="1" customWidth="1"/>
    <col min="24" max="24" width="18.81640625" bestFit="1" customWidth="1"/>
    <col min="25" max="25" width="28.08984375" bestFit="1" customWidth="1"/>
    <col min="26" max="26" width="8.81640625" bestFit="1" customWidth="1"/>
    <col min="27" max="27" width="9.26953125" bestFit="1" customWidth="1"/>
  </cols>
  <sheetData>
    <row r="10" spans="11:19" ht="10.75" thickBot="1" x14ac:dyDescent="0.3"/>
    <row r="11" spans="11:19" ht="15.45" x14ac:dyDescent="0.25">
      <c r="K11" s="45" t="s">
        <v>95</v>
      </c>
      <c r="L11" s="46"/>
      <c r="M11" s="46"/>
      <c r="N11" s="46"/>
      <c r="O11" s="46"/>
      <c r="P11" s="46"/>
      <c r="Q11" s="46"/>
      <c r="R11" s="46"/>
      <c r="S11" s="48"/>
    </row>
    <row r="12" spans="11:19" ht="15.45" x14ac:dyDescent="0.25">
      <c r="K12" s="49" t="s">
        <v>98</v>
      </c>
      <c r="L12" s="50"/>
      <c r="M12" s="50"/>
      <c r="N12" s="50"/>
      <c r="O12" s="50"/>
      <c r="P12" s="50"/>
      <c r="Q12" s="50"/>
      <c r="R12" s="50"/>
      <c r="S12" s="52"/>
    </row>
    <row r="13" spans="11:19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2"/>
    </row>
    <row r="14" spans="11:19" ht="10.75" thickBot="1" x14ac:dyDescent="0.3">
      <c r="K14" s="98" t="s">
        <v>86</v>
      </c>
      <c r="L14" s="56"/>
      <c r="M14" s="44" t="s">
        <v>85</v>
      </c>
      <c r="N14" s="44" t="s">
        <v>84</v>
      </c>
      <c r="O14" s="44" t="s">
        <v>83</v>
      </c>
      <c r="P14" s="44" t="s">
        <v>82</v>
      </c>
      <c r="Q14" s="44" t="s">
        <v>81</v>
      </c>
      <c r="R14" s="44" t="s">
        <v>80</v>
      </c>
      <c r="S14" s="80" t="s">
        <v>89</v>
      </c>
    </row>
    <row r="15" spans="11:19" x14ac:dyDescent="0.25">
      <c r="K15" s="40">
        <v>45289</v>
      </c>
      <c r="L15" s="38"/>
      <c r="M15" s="81">
        <v>45289</v>
      </c>
      <c r="N15" s="43" t="s">
        <v>69</v>
      </c>
      <c r="O15" s="38" t="s">
        <v>68</v>
      </c>
      <c r="P15" s="82"/>
      <c r="Q15" s="83">
        <v>8.5</v>
      </c>
      <c r="R15" s="78">
        <v>9769.2999999999993</v>
      </c>
      <c r="S15" s="78"/>
    </row>
    <row r="16" spans="11:19" x14ac:dyDescent="0.25">
      <c r="K16" s="38" t="s">
        <v>69</v>
      </c>
      <c r="L16" s="38"/>
      <c r="M16" s="81">
        <v>45280</v>
      </c>
      <c r="N16" s="38" t="s">
        <v>39</v>
      </c>
      <c r="O16" s="38" t="s">
        <v>79</v>
      </c>
      <c r="P16" s="82" t="s">
        <v>78</v>
      </c>
      <c r="Q16" s="83">
        <v>400</v>
      </c>
      <c r="R16" s="78">
        <v>9777.7999999999993</v>
      </c>
      <c r="S16" s="78"/>
    </row>
    <row r="17" spans="11:19" x14ac:dyDescent="0.25">
      <c r="K17" s="38" t="s">
        <v>68</v>
      </c>
      <c r="L17" s="38"/>
      <c r="M17" s="81">
        <v>45278</v>
      </c>
      <c r="N17" s="38" t="s">
        <v>39</v>
      </c>
      <c r="O17" s="38" t="s">
        <v>77</v>
      </c>
      <c r="P17" s="82" t="s">
        <v>76</v>
      </c>
      <c r="Q17" s="83">
        <v>1931.05</v>
      </c>
      <c r="R17" s="78">
        <v>10177.799999999999</v>
      </c>
      <c r="S17" s="78"/>
    </row>
    <row r="18" spans="11:19" x14ac:dyDescent="0.25">
      <c r="K18" s="38"/>
      <c r="L18" s="38"/>
      <c r="M18" s="81">
        <v>45272</v>
      </c>
      <c r="N18" s="38" t="s">
        <v>39</v>
      </c>
      <c r="O18" s="38" t="s">
        <v>75</v>
      </c>
      <c r="P18" s="82" t="s">
        <v>74</v>
      </c>
      <c r="Q18" s="83">
        <v>253.24</v>
      </c>
      <c r="R18" s="78">
        <v>12108.85</v>
      </c>
      <c r="S18" s="78"/>
    </row>
    <row r="19" spans="11:19" x14ac:dyDescent="0.25">
      <c r="K19" s="39">
        <v>8.5</v>
      </c>
      <c r="L19" s="38"/>
      <c r="M19" s="81">
        <v>45268</v>
      </c>
      <c r="N19" s="38" t="s">
        <v>62</v>
      </c>
      <c r="O19" s="38" t="s">
        <v>61</v>
      </c>
      <c r="P19" s="82" t="s">
        <v>73</v>
      </c>
      <c r="Q19" s="83">
        <v>-191.34</v>
      </c>
      <c r="R19" s="78">
        <v>12362.09</v>
      </c>
      <c r="S19" s="78"/>
    </row>
    <row r="20" spans="11:19" x14ac:dyDescent="0.25">
      <c r="K20" s="39">
        <v>9769.2999999999993</v>
      </c>
      <c r="L20" s="38"/>
      <c r="M20" s="81">
        <v>45267</v>
      </c>
      <c r="N20" s="38" t="s">
        <v>39</v>
      </c>
      <c r="O20" s="38" t="s">
        <v>72</v>
      </c>
      <c r="P20" s="82" t="s">
        <v>71</v>
      </c>
      <c r="Q20" s="83">
        <v>250</v>
      </c>
      <c r="R20" s="78">
        <v>12170.75</v>
      </c>
      <c r="S20" s="78"/>
    </row>
    <row r="21" spans="11:19" x14ac:dyDescent="0.25">
      <c r="K21" s="40">
        <v>45280</v>
      </c>
      <c r="L21" s="38"/>
      <c r="M21" s="81">
        <v>45261</v>
      </c>
      <c r="N21" s="38" t="s">
        <v>62</v>
      </c>
      <c r="O21" s="38" t="s">
        <v>61</v>
      </c>
      <c r="P21" s="82" t="s">
        <v>70</v>
      </c>
      <c r="Q21" s="83">
        <v>-28.59</v>
      </c>
      <c r="R21" s="78">
        <v>12420.75</v>
      </c>
      <c r="S21" s="78"/>
    </row>
    <row r="22" spans="11:19" x14ac:dyDescent="0.25">
      <c r="K22" s="38" t="s">
        <v>39</v>
      </c>
      <c r="L22" s="38"/>
      <c r="M22" s="81">
        <v>45260</v>
      </c>
      <c r="N22" s="38" t="s">
        <v>69</v>
      </c>
      <c r="O22" s="38" t="s">
        <v>68</v>
      </c>
      <c r="P22" s="82"/>
      <c r="Q22" s="83">
        <v>8.5</v>
      </c>
      <c r="R22" s="78">
        <v>12392.16</v>
      </c>
      <c r="S22" s="78"/>
    </row>
    <row r="23" spans="11:19" x14ac:dyDescent="0.25">
      <c r="K23" s="38" t="s">
        <v>79</v>
      </c>
      <c r="L23" s="38"/>
      <c r="M23" s="81">
        <v>45258</v>
      </c>
      <c r="N23" s="38" t="s">
        <v>62</v>
      </c>
      <c r="O23" s="38" t="s">
        <v>61</v>
      </c>
      <c r="P23" s="82" t="s">
        <v>67</v>
      </c>
      <c r="Q23" s="83">
        <v>-191.2</v>
      </c>
      <c r="R23" s="78">
        <v>12400.66</v>
      </c>
      <c r="S23" s="78"/>
    </row>
    <row r="24" spans="11:19" x14ac:dyDescent="0.25">
      <c r="K24" s="38" t="s">
        <v>78</v>
      </c>
      <c r="L24" s="38"/>
      <c r="M24" s="81">
        <v>45257</v>
      </c>
      <c r="N24" s="38" t="s">
        <v>66</v>
      </c>
      <c r="O24" s="38" t="s">
        <v>65</v>
      </c>
      <c r="P24" s="82" t="s">
        <v>64</v>
      </c>
      <c r="Q24" s="83">
        <v>8695.0499999999993</v>
      </c>
      <c r="R24" s="78">
        <v>12209.46</v>
      </c>
      <c r="S24" s="78"/>
    </row>
    <row r="25" spans="11:19" x14ac:dyDescent="0.25">
      <c r="K25" s="39">
        <v>400</v>
      </c>
      <c r="L25" s="38"/>
      <c r="M25" s="81">
        <v>45252</v>
      </c>
      <c r="N25" s="38" t="s">
        <v>62</v>
      </c>
      <c r="O25" s="38" t="s">
        <v>61</v>
      </c>
      <c r="P25" s="82" t="s">
        <v>63</v>
      </c>
      <c r="Q25" s="83">
        <v>-192.54</v>
      </c>
      <c r="R25" s="78">
        <v>20904.509999999998</v>
      </c>
      <c r="S25" s="78"/>
    </row>
    <row r="26" spans="11:19" x14ac:dyDescent="0.25">
      <c r="K26" s="39">
        <v>9777.7999999999993</v>
      </c>
      <c r="L26" s="38"/>
      <c r="M26" s="81">
        <v>45247</v>
      </c>
      <c r="N26" s="38" t="s">
        <v>62</v>
      </c>
      <c r="O26" s="38" t="s">
        <v>61</v>
      </c>
      <c r="P26" s="82" t="s">
        <v>60</v>
      </c>
      <c r="Q26" s="83">
        <v>-614.09</v>
      </c>
      <c r="R26" s="78">
        <v>20711.97</v>
      </c>
      <c r="S26" s="78"/>
    </row>
    <row r="27" spans="11:19" x14ac:dyDescent="0.25">
      <c r="K27" s="40">
        <v>45278</v>
      </c>
      <c r="L27" s="38"/>
      <c r="M27" s="81">
        <v>45244</v>
      </c>
      <c r="N27" s="38" t="s">
        <v>39</v>
      </c>
      <c r="O27" s="38" t="s">
        <v>59</v>
      </c>
      <c r="P27" s="82" t="s">
        <v>58</v>
      </c>
      <c r="Q27" s="83">
        <v>230</v>
      </c>
      <c r="R27" s="78">
        <v>20097.88</v>
      </c>
      <c r="S27" s="78"/>
    </row>
    <row r="28" spans="11:19" x14ac:dyDescent="0.25">
      <c r="K28" s="38" t="s">
        <v>39</v>
      </c>
      <c r="L28" s="38"/>
      <c r="M28" s="81">
        <v>45244</v>
      </c>
      <c r="N28" s="38" t="s">
        <v>39</v>
      </c>
      <c r="O28" s="38" t="s">
        <v>57</v>
      </c>
      <c r="P28" s="82" t="s">
        <v>56</v>
      </c>
      <c r="Q28" s="83">
        <v>200</v>
      </c>
      <c r="R28" s="78">
        <v>20327.88</v>
      </c>
      <c r="S28" s="78"/>
    </row>
    <row r="29" spans="11:19" x14ac:dyDescent="0.25">
      <c r="K29" s="38" t="s">
        <v>77</v>
      </c>
      <c r="L29" s="38"/>
      <c r="M29" s="81">
        <v>45243</v>
      </c>
      <c r="N29" s="38" t="s">
        <v>39</v>
      </c>
      <c r="O29" s="38" t="s">
        <v>55</v>
      </c>
      <c r="P29" s="82" t="s">
        <v>54</v>
      </c>
      <c r="Q29" s="83">
        <v>4887.37</v>
      </c>
      <c r="R29" s="78">
        <v>20527.88</v>
      </c>
      <c r="S29" s="78"/>
    </row>
    <row r="30" spans="11:19" x14ac:dyDescent="0.25">
      <c r="K30" s="38" t="s">
        <v>76</v>
      </c>
      <c r="L30" s="38"/>
      <c r="M30" s="81">
        <v>45243</v>
      </c>
      <c r="N30" s="38" t="s">
        <v>39</v>
      </c>
      <c r="O30" s="38" t="s">
        <v>53</v>
      </c>
      <c r="P30" s="82" t="s">
        <v>52</v>
      </c>
      <c r="Q30" s="83">
        <v>-1120</v>
      </c>
      <c r="R30" s="78">
        <v>25415.25</v>
      </c>
      <c r="S30" s="78"/>
    </row>
    <row r="31" spans="11:19" x14ac:dyDescent="0.25">
      <c r="K31" s="39">
        <v>1931.05</v>
      </c>
      <c r="L31" s="38"/>
      <c r="M31" s="81">
        <v>45238</v>
      </c>
      <c r="N31" s="38" t="s">
        <v>39</v>
      </c>
      <c r="O31" s="38" t="s">
        <v>51</v>
      </c>
      <c r="P31" s="82" t="s">
        <v>50</v>
      </c>
      <c r="Q31" s="83">
        <v>240</v>
      </c>
      <c r="R31" s="78">
        <v>24295.25</v>
      </c>
      <c r="S31" s="78"/>
    </row>
    <row r="32" spans="11:19" x14ac:dyDescent="0.25">
      <c r="K32" s="39">
        <v>10177.799999999999</v>
      </c>
      <c r="L32" s="38"/>
      <c r="M32" s="81">
        <v>45236</v>
      </c>
      <c r="N32" s="38" t="s">
        <v>39</v>
      </c>
      <c r="O32" s="38" t="s">
        <v>49</v>
      </c>
      <c r="P32" s="82" t="s">
        <v>48</v>
      </c>
      <c r="Q32" s="83">
        <v>200</v>
      </c>
      <c r="R32" s="78">
        <v>24535.25</v>
      </c>
      <c r="S32" s="78"/>
    </row>
    <row r="33" spans="11:19" x14ac:dyDescent="0.25">
      <c r="K33" s="40">
        <v>45272</v>
      </c>
      <c r="L33" s="38"/>
      <c r="M33" s="81">
        <v>45236</v>
      </c>
      <c r="N33" s="38" t="s">
        <v>39</v>
      </c>
      <c r="O33" s="38" t="s">
        <v>47</v>
      </c>
      <c r="P33" s="82" t="s">
        <v>46</v>
      </c>
      <c r="Q33" s="83">
        <v>200</v>
      </c>
      <c r="R33" s="78">
        <v>24735.25</v>
      </c>
      <c r="S33" s="78"/>
    </row>
    <row r="34" spans="11:19" x14ac:dyDescent="0.25">
      <c r="K34" s="38" t="s">
        <v>39</v>
      </c>
      <c r="L34" s="38"/>
      <c r="M34" s="81">
        <v>45236</v>
      </c>
      <c r="N34" s="38" t="s">
        <v>39</v>
      </c>
      <c r="O34" s="38" t="s">
        <v>45</v>
      </c>
      <c r="P34" s="82" t="s">
        <v>44</v>
      </c>
      <c r="Q34" s="83">
        <v>200</v>
      </c>
      <c r="R34" s="78">
        <v>24935.25</v>
      </c>
      <c r="S34" s="78"/>
    </row>
    <row r="35" spans="11:19" x14ac:dyDescent="0.25">
      <c r="K35" s="38" t="s">
        <v>75</v>
      </c>
      <c r="L35" s="38"/>
      <c r="M35" s="81">
        <v>45233</v>
      </c>
      <c r="N35" s="38" t="s">
        <v>39</v>
      </c>
      <c r="O35" s="38" t="s">
        <v>43</v>
      </c>
      <c r="P35" s="82" t="s">
        <v>42</v>
      </c>
      <c r="Q35" s="83">
        <v>200</v>
      </c>
      <c r="R35" s="78">
        <v>25135.25</v>
      </c>
      <c r="S35" s="78"/>
    </row>
    <row r="36" spans="11:19" x14ac:dyDescent="0.25">
      <c r="K36" s="38" t="s">
        <v>74</v>
      </c>
      <c r="L36" s="38"/>
      <c r="M36" s="81">
        <v>45233</v>
      </c>
      <c r="N36" s="38" t="s">
        <v>39</v>
      </c>
      <c r="O36" s="38" t="s">
        <v>41</v>
      </c>
      <c r="P36" s="82" t="s">
        <v>40</v>
      </c>
      <c r="Q36" s="83">
        <v>100</v>
      </c>
      <c r="R36" s="78">
        <v>25335.25</v>
      </c>
      <c r="S36" s="78"/>
    </row>
    <row r="37" spans="11:19" x14ac:dyDescent="0.25">
      <c r="K37" s="39">
        <v>253.24</v>
      </c>
      <c r="L37" s="38"/>
      <c r="M37" s="81">
        <v>45231</v>
      </c>
      <c r="N37" s="38" t="s">
        <v>39</v>
      </c>
      <c r="O37" s="38" t="s">
        <v>38</v>
      </c>
      <c r="P37" s="82" t="s">
        <v>37</v>
      </c>
      <c r="Q37" s="83">
        <v>20</v>
      </c>
      <c r="R37" s="78">
        <v>25435.25</v>
      </c>
      <c r="S37" s="78"/>
    </row>
    <row r="38" spans="11:19" x14ac:dyDescent="0.25">
      <c r="K38" s="39">
        <v>12108.85</v>
      </c>
      <c r="L38" s="38"/>
    </row>
    <row r="39" spans="11:19" x14ac:dyDescent="0.25">
      <c r="K39" s="40">
        <v>45268</v>
      </c>
      <c r="L39" s="38"/>
    </row>
    <row r="40" spans="11:19" x14ac:dyDescent="0.25">
      <c r="K40" s="38" t="s">
        <v>62</v>
      </c>
      <c r="L40" s="38"/>
    </row>
    <row r="41" spans="11:19" x14ac:dyDescent="0.25">
      <c r="K41" s="38" t="s">
        <v>61</v>
      </c>
      <c r="L41" s="38"/>
    </row>
    <row r="42" spans="11:19" x14ac:dyDescent="0.25">
      <c r="K42" s="38" t="s">
        <v>73</v>
      </c>
      <c r="L42" s="38"/>
    </row>
    <row r="43" spans="11:19" x14ac:dyDescent="0.25">
      <c r="K43" s="39">
        <v>-191.34</v>
      </c>
      <c r="L43" s="38"/>
    </row>
    <row r="44" spans="11:19" x14ac:dyDescent="0.25">
      <c r="K44" s="39">
        <v>12362.09</v>
      </c>
      <c r="L44" s="38"/>
    </row>
    <row r="45" spans="11:19" x14ac:dyDescent="0.25">
      <c r="K45" s="40">
        <v>45267</v>
      </c>
      <c r="L45" s="38"/>
    </row>
    <row r="46" spans="11:19" x14ac:dyDescent="0.25">
      <c r="K46" s="38" t="s">
        <v>39</v>
      </c>
      <c r="L46" s="38"/>
    </row>
    <row r="47" spans="11:19" x14ac:dyDescent="0.25">
      <c r="K47" s="38" t="s">
        <v>72</v>
      </c>
      <c r="L47" s="38"/>
    </row>
    <row r="48" spans="11:19" x14ac:dyDescent="0.25">
      <c r="K48" s="38" t="s">
        <v>71</v>
      </c>
      <c r="L48" s="38"/>
    </row>
    <row r="49" spans="11:12" x14ac:dyDescent="0.25">
      <c r="K49" s="39">
        <v>250</v>
      </c>
      <c r="L49" s="38"/>
    </row>
    <row r="50" spans="11:12" x14ac:dyDescent="0.25">
      <c r="K50" s="39">
        <v>12170.75</v>
      </c>
      <c r="L50" s="38"/>
    </row>
    <row r="51" spans="11:12" x14ac:dyDescent="0.25">
      <c r="K51" s="40">
        <v>45261</v>
      </c>
      <c r="L51" s="38"/>
    </row>
    <row r="52" spans="11:12" x14ac:dyDescent="0.25">
      <c r="K52" s="38" t="s">
        <v>62</v>
      </c>
      <c r="L52" s="38"/>
    </row>
    <row r="53" spans="11:12" x14ac:dyDescent="0.25">
      <c r="K53" s="38" t="s">
        <v>61</v>
      </c>
      <c r="L53" s="38"/>
    </row>
    <row r="54" spans="11:12" x14ac:dyDescent="0.25">
      <c r="K54" s="38" t="s">
        <v>70</v>
      </c>
      <c r="L54" s="38"/>
    </row>
    <row r="55" spans="11:12" x14ac:dyDescent="0.25">
      <c r="K55" s="39">
        <v>-28.59</v>
      </c>
      <c r="L55" s="38"/>
    </row>
    <row r="56" spans="11:12" x14ac:dyDescent="0.25">
      <c r="K56" s="39">
        <v>12420.75</v>
      </c>
      <c r="L56" s="38"/>
    </row>
    <row r="57" spans="11:12" x14ac:dyDescent="0.25">
      <c r="K57" s="40">
        <v>45260</v>
      </c>
      <c r="L57" s="38"/>
    </row>
    <row r="58" spans="11:12" x14ac:dyDescent="0.25">
      <c r="K58" s="38" t="s">
        <v>69</v>
      </c>
      <c r="L58" s="38"/>
    </row>
    <row r="59" spans="11:12" x14ac:dyDescent="0.25">
      <c r="K59" s="38" t="s">
        <v>68</v>
      </c>
      <c r="L59" s="38"/>
    </row>
    <row r="60" spans="11:12" x14ac:dyDescent="0.25">
      <c r="K60" s="38"/>
      <c r="L60" s="38"/>
    </row>
    <row r="61" spans="11:12" x14ac:dyDescent="0.25">
      <c r="K61" s="39">
        <v>8.5</v>
      </c>
      <c r="L61" s="38"/>
    </row>
    <row r="62" spans="11:12" x14ac:dyDescent="0.25">
      <c r="K62" s="39">
        <v>12392.16</v>
      </c>
      <c r="L62" s="38"/>
    </row>
    <row r="63" spans="11:12" x14ac:dyDescent="0.25">
      <c r="K63" s="40">
        <v>45258</v>
      </c>
      <c r="L63" s="38"/>
    </row>
    <row r="64" spans="11:12" x14ac:dyDescent="0.25">
      <c r="K64" s="38" t="s">
        <v>62</v>
      </c>
      <c r="L64" s="38"/>
    </row>
    <row r="65" spans="11:12" x14ac:dyDescent="0.25">
      <c r="K65" s="38" t="s">
        <v>61</v>
      </c>
      <c r="L65" s="38"/>
    </row>
    <row r="66" spans="11:12" x14ac:dyDescent="0.25">
      <c r="K66" s="38" t="s">
        <v>67</v>
      </c>
      <c r="L66" s="38"/>
    </row>
    <row r="67" spans="11:12" x14ac:dyDescent="0.25">
      <c r="K67" s="39">
        <v>-191.2</v>
      </c>
      <c r="L67" s="38"/>
    </row>
    <row r="68" spans="11:12" x14ac:dyDescent="0.25">
      <c r="K68" s="39">
        <v>12400.66</v>
      </c>
      <c r="L68" s="38"/>
    </row>
    <row r="69" spans="11:12" x14ac:dyDescent="0.25">
      <c r="K69" s="40">
        <v>45257</v>
      </c>
      <c r="L69" s="38"/>
    </row>
    <row r="70" spans="11:12" x14ac:dyDescent="0.25">
      <c r="K70" s="38" t="s">
        <v>66</v>
      </c>
      <c r="L70" s="38"/>
    </row>
    <row r="71" spans="11:12" x14ac:dyDescent="0.25">
      <c r="K71" s="38" t="s">
        <v>65</v>
      </c>
      <c r="L71" s="38"/>
    </row>
    <row r="72" spans="11:12" x14ac:dyDescent="0.25">
      <c r="K72" s="38" t="s">
        <v>64</v>
      </c>
      <c r="L72" s="38"/>
    </row>
    <row r="73" spans="11:12" x14ac:dyDescent="0.25">
      <c r="K73" s="39">
        <v>8695.0499999999993</v>
      </c>
      <c r="L73" s="38"/>
    </row>
    <row r="74" spans="11:12" x14ac:dyDescent="0.25">
      <c r="K74" s="39">
        <v>12209.46</v>
      </c>
      <c r="L74" s="38"/>
    </row>
    <row r="75" spans="11:12" x14ac:dyDescent="0.25">
      <c r="K75" s="40">
        <v>45252</v>
      </c>
      <c r="L75" s="38"/>
    </row>
    <row r="76" spans="11:12" x14ac:dyDescent="0.25">
      <c r="K76" s="38" t="s">
        <v>62</v>
      </c>
      <c r="L76" s="38"/>
    </row>
    <row r="77" spans="11:12" x14ac:dyDescent="0.25">
      <c r="K77" s="38" t="s">
        <v>61</v>
      </c>
      <c r="L77" s="38"/>
    </row>
    <row r="78" spans="11:12" x14ac:dyDescent="0.25">
      <c r="K78" s="38" t="s">
        <v>63</v>
      </c>
      <c r="L78" s="38"/>
    </row>
    <row r="79" spans="11:12" x14ac:dyDescent="0.25">
      <c r="K79" s="39">
        <v>-192.54</v>
      </c>
      <c r="L79" s="38"/>
    </row>
    <row r="80" spans="11:12" x14ac:dyDescent="0.25">
      <c r="K80" s="39">
        <v>20904.509999999998</v>
      </c>
      <c r="L80" s="38"/>
    </row>
    <row r="81" spans="11:12" x14ac:dyDescent="0.25">
      <c r="K81" s="40">
        <v>45247</v>
      </c>
      <c r="L81" s="38"/>
    </row>
    <row r="82" spans="11:12" x14ac:dyDescent="0.25">
      <c r="K82" s="38" t="s">
        <v>62</v>
      </c>
      <c r="L82" s="38"/>
    </row>
    <row r="83" spans="11:12" x14ac:dyDescent="0.25">
      <c r="K83" s="38" t="s">
        <v>61</v>
      </c>
      <c r="L83" s="38"/>
    </row>
    <row r="84" spans="11:12" x14ac:dyDescent="0.25">
      <c r="K84" s="38" t="s">
        <v>60</v>
      </c>
      <c r="L84" s="38"/>
    </row>
    <row r="85" spans="11:12" x14ac:dyDescent="0.25">
      <c r="K85" s="39">
        <v>-614.09</v>
      </c>
      <c r="L85" s="38"/>
    </row>
    <row r="86" spans="11:12" x14ac:dyDescent="0.25">
      <c r="K86" s="39">
        <v>20711.97</v>
      </c>
      <c r="L86" s="38"/>
    </row>
    <row r="87" spans="11:12" x14ac:dyDescent="0.25">
      <c r="K87" s="40">
        <v>45244</v>
      </c>
      <c r="L87" s="38"/>
    </row>
    <row r="88" spans="11:12" x14ac:dyDescent="0.25">
      <c r="K88" s="38" t="s">
        <v>39</v>
      </c>
      <c r="L88" s="38"/>
    </row>
    <row r="89" spans="11:12" x14ac:dyDescent="0.25">
      <c r="K89" s="38" t="s">
        <v>59</v>
      </c>
      <c r="L89" s="38"/>
    </row>
    <row r="90" spans="11:12" x14ac:dyDescent="0.25">
      <c r="K90" s="38" t="s">
        <v>58</v>
      </c>
      <c r="L90" s="38"/>
    </row>
    <row r="91" spans="11:12" x14ac:dyDescent="0.25">
      <c r="K91" s="39">
        <v>230</v>
      </c>
      <c r="L91" s="38"/>
    </row>
    <row r="92" spans="11:12" x14ac:dyDescent="0.25">
      <c r="K92" s="39">
        <v>20097.88</v>
      </c>
      <c r="L92" s="38"/>
    </row>
    <row r="93" spans="11:12" x14ac:dyDescent="0.25">
      <c r="K93" s="40">
        <v>45244</v>
      </c>
      <c r="L93" s="38"/>
    </row>
    <row r="94" spans="11:12" x14ac:dyDescent="0.25">
      <c r="K94" s="38" t="s">
        <v>39</v>
      </c>
      <c r="L94" s="38"/>
    </row>
    <row r="95" spans="11:12" x14ac:dyDescent="0.25">
      <c r="K95" s="38" t="s">
        <v>57</v>
      </c>
      <c r="L95" s="38"/>
    </row>
    <row r="96" spans="11:12" x14ac:dyDescent="0.25">
      <c r="K96" s="38" t="s">
        <v>56</v>
      </c>
      <c r="L96" s="38"/>
    </row>
    <row r="97" spans="11:12" x14ac:dyDescent="0.25">
      <c r="K97" s="39">
        <v>200</v>
      </c>
      <c r="L97" s="38"/>
    </row>
    <row r="98" spans="11:12" x14ac:dyDescent="0.25">
      <c r="K98" s="39">
        <v>20327.88</v>
      </c>
      <c r="L98" s="38"/>
    </row>
    <row r="99" spans="11:12" x14ac:dyDescent="0.25">
      <c r="K99" s="40">
        <v>45243</v>
      </c>
      <c r="L99" s="38"/>
    </row>
    <row r="100" spans="11:12" x14ac:dyDescent="0.25">
      <c r="K100" s="38" t="s">
        <v>39</v>
      </c>
      <c r="L100" s="38"/>
    </row>
    <row r="101" spans="11:12" x14ac:dyDescent="0.25">
      <c r="K101" s="38" t="s">
        <v>55</v>
      </c>
      <c r="L101" s="38"/>
    </row>
    <row r="102" spans="11:12" x14ac:dyDescent="0.25">
      <c r="K102" s="38" t="s">
        <v>54</v>
      </c>
      <c r="L102" s="38"/>
    </row>
    <row r="103" spans="11:12" x14ac:dyDescent="0.25">
      <c r="K103" s="39">
        <v>4887.37</v>
      </c>
      <c r="L103" s="38"/>
    </row>
    <row r="104" spans="11:12" x14ac:dyDescent="0.25">
      <c r="K104" s="39">
        <v>20527.88</v>
      </c>
      <c r="L104" s="38"/>
    </row>
    <row r="105" spans="11:12" x14ac:dyDescent="0.25">
      <c r="K105" s="40">
        <v>45243</v>
      </c>
      <c r="L105" s="38"/>
    </row>
    <row r="106" spans="11:12" x14ac:dyDescent="0.25">
      <c r="K106" s="38" t="s">
        <v>39</v>
      </c>
      <c r="L106" s="38"/>
    </row>
    <row r="107" spans="11:12" x14ac:dyDescent="0.25">
      <c r="K107" s="38" t="s">
        <v>53</v>
      </c>
      <c r="L107" s="38"/>
    </row>
    <row r="108" spans="11:12" x14ac:dyDescent="0.25">
      <c r="K108" s="38" t="s">
        <v>52</v>
      </c>
      <c r="L108" s="38"/>
    </row>
    <row r="109" spans="11:12" x14ac:dyDescent="0.25">
      <c r="K109" s="39">
        <v>-1120</v>
      </c>
      <c r="L109" s="38"/>
    </row>
    <row r="110" spans="11:12" x14ac:dyDescent="0.25">
      <c r="K110" s="39">
        <v>25415.25</v>
      </c>
      <c r="L110" s="38"/>
    </row>
    <row r="111" spans="11:12" x14ac:dyDescent="0.25">
      <c r="K111" s="40">
        <v>45238</v>
      </c>
      <c r="L111" s="38"/>
    </row>
    <row r="112" spans="11:12" x14ac:dyDescent="0.25">
      <c r="K112" s="38" t="s">
        <v>39</v>
      </c>
      <c r="L112" s="38"/>
    </row>
    <row r="113" spans="11:12" x14ac:dyDescent="0.25">
      <c r="K113" s="38" t="s">
        <v>51</v>
      </c>
      <c r="L113" s="38"/>
    </row>
    <row r="114" spans="11:12" x14ac:dyDescent="0.25">
      <c r="K114" s="38" t="s">
        <v>50</v>
      </c>
      <c r="L114" s="38"/>
    </row>
    <row r="115" spans="11:12" x14ac:dyDescent="0.25">
      <c r="K115" s="39">
        <v>240</v>
      </c>
      <c r="L115" s="38"/>
    </row>
    <row r="116" spans="11:12" x14ac:dyDescent="0.25">
      <c r="K116" s="39">
        <v>24295.25</v>
      </c>
      <c r="L116" s="38"/>
    </row>
    <row r="117" spans="11:12" x14ac:dyDescent="0.25">
      <c r="K117" s="40">
        <v>45236</v>
      </c>
      <c r="L117" s="38"/>
    </row>
    <row r="118" spans="11:12" x14ac:dyDescent="0.25">
      <c r="K118" s="38" t="s">
        <v>39</v>
      </c>
      <c r="L118" s="38"/>
    </row>
    <row r="119" spans="11:12" x14ac:dyDescent="0.25">
      <c r="K119" s="38" t="s">
        <v>49</v>
      </c>
      <c r="L119" s="38"/>
    </row>
    <row r="120" spans="11:12" x14ac:dyDescent="0.25">
      <c r="K120" s="38" t="s">
        <v>48</v>
      </c>
      <c r="L120" s="38"/>
    </row>
    <row r="121" spans="11:12" x14ac:dyDescent="0.25">
      <c r="K121" s="39">
        <v>200</v>
      </c>
      <c r="L121" s="38"/>
    </row>
    <row r="122" spans="11:12" x14ac:dyDescent="0.25">
      <c r="K122" s="39">
        <v>24535.25</v>
      </c>
      <c r="L122" s="38"/>
    </row>
    <row r="123" spans="11:12" x14ac:dyDescent="0.25">
      <c r="K123" s="40">
        <v>45236</v>
      </c>
      <c r="L123" s="38"/>
    </row>
    <row r="124" spans="11:12" x14ac:dyDescent="0.25">
      <c r="K124" s="38" t="s">
        <v>39</v>
      </c>
      <c r="L124" s="38"/>
    </row>
    <row r="125" spans="11:12" x14ac:dyDescent="0.25">
      <c r="K125" s="38" t="s">
        <v>47</v>
      </c>
      <c r="L125" s="38"/>
    </row>
    <row r="126" spans="11:12" x14ac:dyDescent="0.25">
      <c r="K126" s="38" t="s">
        <v>46</v>
      </c>
      <c r="L126" s="38"/>
    </row>
    <row r="127" spans="11:12" x14ac:dyDescent="0.25">
      <c r="K127" s="39">
        <v>200</v>
      </c>
      <c r="L127" s="38"/>
    </row>
    <row r="128" spans="11:12" x14ac:dyDescent="0.25">
      <c r="K128" s="39">
        <v>24735.25</v>
      </c>
      <c r="L128" s="38"/>
    </row>
    <row r="129" spans="11:12" x14ac:dyDescent="0.25">
      <c r="K129" s="40">
        <v>45236</v>
      </c>
      <c r="L129" s="38"/>
    </row>
    <row r="130" spans="11:12" x14ac:dyDescent="0.25">
      <c r="K130" s="38" t="s">
        <v>39</v>
      </c>
      <c r="L130" s="38"/>
    </row>
    <row r="131" spans="11:12" x14ac:dyDescent="0.25">
      <c r="K131" s="38" t="s">
        <v>45</v>
      </c>
      <c r="L131" s="38"/>
    </row>
    <row r="132" spans="11:12" x14ac:dyDescent="0.25">
      <c r="K132" s="38" t="s">
        <v>44</v>
      </c>
      <c r="L132" s="38"/>
    </row>
    <row r="133" spans="11:12" x14ac:dyDescent="0.25">
      <c r="K133" s="39">
        <v>200</v>
      </c>
      <c r="L133" s="38"/>
    </row>
    <row r="134" spans="11:12" x14ac:dyDescent="0.25">
      <c r="K134" s="39">
        <v>24935.25</v>
      </c>
      <c r="L134" s="38"/>
    </row>
    <row r="135" spans="11:12" x14ac:dyDescent="0.25">
      <c r="K135" s="40">
        <v>45233</v>
      </c>
      <c r="L135" s="38"/>
    </row>
    <row r="136" spans="11:12" x14ac:dyDescent="0.25">
      <c r="K136" s="38" t="s">
        <v>39</v>
      </c>
      <c r="L136" s="38"/>
    </row>
    <row r="137" spans="11:12" x14ac:dyDescent="0.25">
      <c r="K137" s="38" t="s">
        <v>43</v>
      </c>
      <c r="L137" s="38"/>
    </row>
    <row r="138" spans="11:12" x14ac:dyDescent="0.25">
      <c r="K138" s="41" t="s">
        <v>42</v>
      </c>
      <c r="L138" s="38"/>
    </row>
    <row r="139" spans="11:12" x14ac:dyDescent="0.25">
      <c r="K139" s="39">
        <v>200</v>
      </c>
      <c r="L139" s="38"/>
    </row>
    <row r="140" spans="11:12" x14ac:dyDescent="0.25">
      <c r="K140" s="39">
        <v>25135.25</v>
      </c>
      <c r="L140" s="38"/>
    </row>
    <row r="141" spans="11:12" x14ac:dyDescent="0.25">
      <c r="K141" s="40">
        <v>45233</v>
      </c>
      <c r="L141" s="38"/>
    </row>
    <row r="142" spans="11:12" x14ac:dyDescent="0.25">
      <c r="K142" s="38" t="s">
        <v>39</v>
      </c>
      <c r="L142" s="38"/>
    </row>
    <row r="143" spans="11:12" x14ac:dyDescent="0.25">
      <c r="K143" s="38" t="s">
        <v>41</v>
      </c>
      <c r="L143" s="38"/>
    </row>
    <row r="144" spans="11:12" x14ac:dyDescent="0.25">
      <c r="K144" s="38" t="s">
        <v>40</v>
      </c>
      <c r="L144" s="38"/>
    </row>
    <row r="145" spans="11:12" x14ac:dyDescent="0.25">
      <c r="K145" s="39">
        <v>100</v>
      </c>
      <c r="L145" s="38"/>
    </row>
    <row r="146" spans="11:12" x14ac:dyDescent="0.25">
      <c r="K146" s="39">
        <v>25335.25</v>
      </c>
      <c r="L146" s="38"/>
    </row>
    <row r="147" spans="11:12" x14ac:dyDescent="0.25">
      <c r="K147" s="40">
        <v>45231</v>
      </c>
      <c r="L147" s="38"/>
    </row>
    <row r="148" spans="11:12" x14ac:dyDescent="0.25">
      <c r="K148" s="38" t="s">
        <v>39</v>
      </c>
      <c r="L148" s="38"/>
    </row>
    <row r="149" spans="11:12" x14ac:dyDescent="0.25">
      <c r="K149" s="38" t="s">
        <v>38</v>
      </c>
      <c r="L149" s="38"/>
    </row>
    <row r="150" spans="11:12" x14ac:dyDescent="0.25">
      <c r="K150" s="38" t="s">
        <v>37</v>
      </c>
      <c r="L150" s="38"/>
    </row>
    <row r="151" spans="11:12" x14ac:dyDescent="0.25">
      <c r="K151" s="39">
        <v>20</v>
      </c>
      <c r="L151" s="38"/>
    </row>
    <row r="152" spans="11:12" x14ac:dyDescent="0.25">
      <c r="K152" s="39">
        <v>25435.25</v>
      </c>
      <c r="L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TransformFix">
                <anchor moveWithCells="1" sizeWithCells="1">
                  <from>
                    <xdr:col>12</xdr:col>
                    <xdr:colOff>108857</xdr:colOff>
                    <xdr:row>10</xdr:row>
                    <xdr:rowOff>43543</xdr:rowOff>
                  </from>
                  <to>
                    <xdr:col>13</xdr:col>
                    <xdr:colOff>272143</xdr:colOff>
                    <xdr:row>11</xdr:row>
                    <xdr:rowOff>185057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00B49-2A4C-45E3-84A3-6722C600B648}">
  <sheetPr codeName="Sheet4">
    <tabColor theme="0" tint="-4.9989318521683403E-2"/>
  </sheetPr>
  <dimension ref="K10:AA152"/>
  <sheetViews>
    <sheetView topLeftCell="K11" workbookViewId="0">
      <selection activeCell="V15" sqref="V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customWidth="1"/>
    <col min="14" max="14" width="10.90625" customWidth="1"/>
    <col min="15" max="15" width="18.90625" customWidth="1"/>
    <col min="16" max="16" width="23.1796875" customWidth="1"/>
    <col min="17" max="17" width="28.08984375" customWidth="1"/>
    <col min="18" max="19" width="9.90625" customWidth="1"/>
    <col min="20" max="20" width="1.6328125" customWidth="1"/>
    <col min="21" max="21" width="8.7265625" customWidth="1"/>
    <col min="22" max="22" width="13" customWidth="1"/>
    <col min="23" max="23" width="10.81640625" bestFit="1" customWidth="1"/>
    <col min="24" max="24" width="18.81640625" bestFit="1" customWidth="1"/>
    <col min="25" max="25" width="28.08984375" bestFit="1" customWidth="1"/>
    <col min="26" max="27" width="10.6328125" customWidth="1"/>
    <col min="28" max="28" width="9.26953125" bestFit="1" customWidth="1"/>
  </cols>
  <sheetData>
    <row r="10" spans="11:27" ht="10.75" thickBot="1" x14ac:dyDescent="0.3">
      <c r="N10">
        <v>1</v>
      </c>
      <c r="O10">
        <v>2</v>
      </c>
      <c r="P10">
        <v>3</v>
      </c>
      <c r="Q10">
        <v>4</v>
      </c>
      <c r="R10">
        <v>5</v>
      </c>
      <c r="S10">
        <v>6</v>
      </c>
    </row>
    <row r="11" spans="11:27" ht="15.45" x14ac:dyDescent="0.25">
      <c r="K11" s="45" t="s">
        <v>95</v>
      </c>
      <c r="L11" s="46"/>
      <c r="M11" s="47"/>
      <c r="N11" s="46"/>
      <c r="O11" s="46"/>
      <c r="P11" s="46"/>
      <c r="Q11" s="46"/>
      <c r="R11" s="46"/>
      <c r="S11" s="46"/>
      <c r="T11" s="48"/>
    </row>
    <row r="12" spans="11:27" ht="15.45" x14ac:dyDescent="0.3">
      <c r="K12" s="49" t="s">
        <v>97</v>
      </c>
      <c r="L12" s="50"/>
      <c r="M12" s="93" t="str" cm="1">
        <f t="array" ref="M12">IF(ROWS(dtbBankSXL[Bank])/6&lt;&gt;INDEX(dtbOutSXL[RowIndex],COUNT(dtbOutSXL[RowIndex])),"Adjust table length","")</f>
        <v/>
      </c>
      <c r="N12" s="50"/>
      <c r="O12" s="50"/>
      <c r="P12" s="50"/>
      <c r="Q12" s="50"/>
      <c r="R12" s="50"/>
      <c r="S12" s="50"/>
      <c r="T12" s="52"/>
    </row>
    <row r="13" spans="11:27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0"/>
      <c r="T13" s="52"/>
      <c r="V13" s="96" t="s">
        <v>87</v>
      </c>
    </row>
    <row r="14" spans="11:27" ht="10.75" thickBot="1" x14ac:dyDescent="0.3">
      <c r="K14" s="76" t="s">
        <v>86</v>
      </c>
      <c r="L14" s="56"/>
      <c r="M14" s="44" t="s">
        <v>96</v>
      </c>
      <c r="N14" s="44" t="s">
        <v>85</v>
      </c>
      <c r="O14" s="44" t="s">
        <v>84</v>
      </c>
      <c r="P14" s="44" t="s">
        <v>83</v>
      </c>
      <c r="Q14" s="44" t="s">
        <v>82</v>
      </c>
      <c r="R14" s="44" t="s">
        <v>81</v>
      </c>
      <c r="S14" s="44" t="s">
        <v>80</v>
      </c>
      <c r="T14" s="80" t="s">
        <v>89</v>
      </c>
      <c r="V14" t="s">
        <v>85</v>
      </c>
      <c r="W14" t="s">
        <v>84</v>
      </c>
      <c r="X14" t="s">
        <v>83</v>
      </c>
      <c r="Y14" t="s">
        <v>82</v>
      </c>
      <c r="Z14" t="s">
        <v>81</v>
      </c>
      <c r="AA14" t="s">
        <v>80</v>
      </c>
    </row>
    <row r="15" spans="11:27" x14ac:dyDescent="0.25">
      <c r="K15" s="40">
        <v>45289</v>
      </c>
      <c r="L15" s="38"/>
      <c r="M15" s="84">
        <f>ROW(dtbOutSXL[[#This Row],[TranDate]])-ROW(dtbOutSXL[[#Headers],[RowIndex]])</f>
        <v>1</v>
      </c>
      <c r="N15" s="77" cm="1">
        <f t="array" ref="N15">INDEX(dtbBankSXL[Bank],($M15-1)*6+N$10)</f>
        <v>45289</v>
      </c>
      <c r="O15" t="str" cm="1">
        <f t="array" ref="O15">INDEX(dtbBankSXL[Bank],($M15-1)*6+O$10)</f>
        <v>Bank Fee</v>
      </c>
      <c r="P15" t="str" cm="1">
        <f t="array" ref="P15">INDEX(dtbBankSXL[Bank],($M15-1)*6+P$10)</f>
        <v>Monthly A/C Fee</v>
      </c>
      <c r="Q15" t="str">
        <f>T(INDEX(dtbBankSXL[Bank],($M15-1)*6+Q$10))</f>
        <v/>
      </c>
      <c r="R15" s="78" cm="1">
        <f t="array" ref="R15">INDEX(dtbBankSXL[Bank],($M15-1)*6+R$10)</f>
        <v>8.5</v>
      </c>
      <c r="S15" s="78" cm="1">
        <f t="array" ref="S15">INDEX(dtbBankSXL[Bank],($M15-1)*6+S$10)</f>
        <v>9769.2999999999993</v>
      </c>
      <c r="T15" s="78"/>
      <c r="V15" s="95" cm="1">
        <f t="array" ref="V15:AA37">_xlfn.WRAPROWS(dtbBankSXL[Bank],6)</f>
        <v>45289</v>
      </c>
      <c r="W15" t="str">
        <v>Bank Fee</v>
      </c>
      <c r="X15" t="str">
        <v>Monthly A/C Fee</v>
      </c>
      <c r="Y15">
        <v>0</v>
      </c>
      <c r="Z15" s="78">
        <v>8.5</v>
      </c>
      <c r="AA15" s="78">
        <v>9769.2999999999993</v>
      </c>
    </row>
    <row r="16" spans="11:27" x14ac:dyDescent="0.25">
      <c r="K16" s="38" t="s">
        <v>69</v>
      </c>
      <c r="L16" s="38"/>
      <c r="M16" s="84">
        <f>ROW(dtbOutSXL[[#This Row],[TranDate]])-ROW(dtbOutSXL[[#Headers],[RowIndex]])</f>
        <v>2</v>
      </c>
      <c r="N16" s="77" cm="1">
        <f t="array" ref="N16">INDEX(dtbBankSXL[Bank],($M16-1)*6+N$10)</f>
        <v>45280</v>
      </c>
      <c r="O16" t="str" cm="1">
        <f t="array" ref="O16">INDEX(dtbBankSXL[Bank],($M16-1)*6+O$10)</f>
        <v>Payment</v>
      </c>
      <c r="P16" t="str" cm="1">
        <f t="array" ref="P16">INDEX(dtbBankSXL[Bank],($M16-1)*6+P$10)</f>
        <v>Global Organization</v>
      </c>
      <c r="Q16" t="str">
        <f>T(INDEX(dtbBankSXL[Bank],($M16-1)*6+Q$10))</f>
        <v>Cherryfestiv Chin Show</v>
      </c>
      <c r="R16" s="78" cm="1">
        <f t="array" ref="R16">INDEX(dtbBankSXL[Bank],($M16-1)*6+R$10)</f>
        <v>400</v>
      </c>
      <c r="S16" s="78" cm="1">
        <f t="array" ref="S16">INDEX(dtbBankSXL[Bank],($M16-1)*6+S$10)</f>
        <v>9777.7999999999993</v>
      </c>
      <c r="T16" s="78"/>
      <c r="V16" s="95">
        <v>45280</v>
      </c>
      <c r="W16" t="str">
        <v>Payment</v>
      </c>
      <c r="X16" t="str">
        <v>Global Organization</v>
      </c>
      <c r="Y16" t="str">
        <v>Cherryfestiv Chin Show</v>
      </c>
      <c r="Z16" s="78">
        <v>400</v>
      </c>
      <c r="AA16" s="78">
        <v>9777.7999999999993</v>
      </c>
    </row>
    <row r="17" spans="11:27" x14ac:dyDescent="0.25">
      <c r="K17" s="38" t="s">
        <v>68</v>
      </c>
      <c r="L17" s="38"/>
      <c r="M17" s="84">
        <f>ROW(dtbOutSXL[[#This Row],[TranDate]])-ROW(dtbOutSXL[[#Headers],[RowIndex]])</f>
        <v>3</v>
      </c>
      <c r="N17" s="77" cm="1">
        <f t="array" ref="N17">INDEX(dtbBankSXL[Bank],($M17-1)*6+N$10)</f>
        <v>45278</v>
      </c>
      <c r="O17" t="str" cm="1">
        <f t="array" ref="O17">INDEX(dtbBankSXL[Bank],($M17-1)*6+O$10)</f>
        <v>Payment</v>
      </c>
      <c r="P17" t="str" cm="1">
        <f t="array" ref="P17">INDEX(dtbBankSXL[Bank],($M17-1)*6+P$10)</f>
        <v>Danken Fend</v>
      </c>
      <c r="Q17" t="str">
        <f>T(INDEX(dtbBankSXL[Bank],($M17-1)*6+Q$10))</f>
        <v>Danfen 162117</v>
      </c>
      <c r="R17" s="78" cm="1">
        <f t="array" ref="R17">INDEX(dtbBankSXL[Bank],($M17-1)*6+R$10)</f>
        <v>1931.05</v>
      </c>
      <c r="S17" s="78" cm="1">
        <f t="array" ref="S17">INDEX(dtbBankSXL[Bank],($M17-1)*6+S$10)</f>
        <v>10177.799999999999</v>
      </c>
      <c r="T17" s="78"/>
      <c r="V17" s="95">
        <v>45278</v>
      </c>
      <c r="W17" t="str">
        <v>Payment</v>
      </c>
      <c r="X17" t="str">
        <v>Danken Fend</v>
      </c>
      <c r="Y17" t="str">
        <v>Danfen 162117</v>
      </c>
      <c r="Z17" s="78">
        <v>1931.05</v>
      </c>
      <c r="AA17" s="78">
        <v>10177.799999999999</v>
      </c>
    </row>
    <row r="18" spans="11:27" x14ac:dyDescent="0.25">
      <c r="K18" s="38"/>
      <c r="L18" s="38"/>
      <c r="M18" s="84">
        <f>ROW(dtbOutSXL[[#This Row],[TranDate]])-ROW(dtbOutSXL[[#Headers],[RowIndex]])</f>
        <v>4</v>
      </c>
      <c r="N18" s="77" cm="1">
        <f t="array" ref="N18">INDEX(dtbBankSXL[Bank],($M18-1)*6+N$10)</f>
        <v>45272</v>
      </c>
      <c r="O18" t="str" cm="1">
        <f t="array" ref="O18">INDEX(dtbBankSXL[Bank],($M18-1)*6+O$10)</f>
        <v>Payment</v>
      </c>
      <c r="P18" t="str" cm="1">
        <f t="array" ref="P18">INDEX(dtbBankSXL[Bank],($M18-1)*6+P$10)</f>
        <v>Maxflow Plumbing Serv</v>
      </c>
      <c r="Q18" t="str">
        <f>T(INDEX(dtbBankSXL[Bank],($M18-1)*6+Q$10))</f>
        <v>Festival Plumbtoilet Henk Soh</v>
      </c>
      <c r="R18" s="78" cm="1">
        <f t="array" ref="R18">INDEX(dtbBankSXL[Bank],($M18-1)*6+R$10)</f>
        <v>253.24</v>
      </c>
      <c r="S18" s="78" cm="1">
        <f t="array" ref="S18">INDEX(dtbBankSXL[Bank],($M18-1)*6+S$10)</f>
        <v>12108.85</v>
      </c>
      <c r="T18" s="78"/>
      <c r="V18" s="95">
        <v>45272</v>
      </c>
      <c r="W18" t="str">
        <v>Payment</v>
      </c>
      <c r="X18" t="str">
        <v>Maxflow Plumbing Serv</v>
      </c>
      <c r="Y18" t="str">
        <v>Festival Plumbtoilet Henk Soh</v>
      </c>
      <c r="Z18" s="78">
        <v>253.24</v>
      </c>
      <c r="AA18" s="78">
        <v>12108.85</v>
      </c>
    </row>
    <row r="19" spans="11:27" x14ac:dyDescent="0.25">
      <c r="K19" s="39">
        <v>8.5</v>
      </c>
      <c r="L19" s="38"/>
      <c r="M19" s="84">
        <f>ROW(dtbOutSXL[[#This Row],[TranDate]])-ROW(dtbOutSXL[[#Headers],[RowIndex]])</f>
        <v>5</v>
      </c>
      <c r="N19" s="77" cm="1">
        <f t="array" ref="N19">INDEX(dtbBankSXL[Bank],($M19-1)*6+N$10)</f>
        <v>45268</v>
      </c>
      <c r="O19" t="str" cm="1">
        <f t="array" ref="O19">INDEX(dtbBankSXL[Bank],($M19-1)*6+O$10)</f>
        <v>Direct Credit</v>
      </c>
      <c r="P19" t="str" cm="1">
        <f t="array" ref="P19">INDEX(dtbBankSXL[Bank],($M19-1)*6+P$10)</f>
        <v>Stripe Payments</v>
      </c>
      <c r="Q19" t="str">
        <f>T(INDEX(dtbBankSXL[Bank],($M19-1)*6+Q$10))</f>
        <v>Trf Rtkz7Nfd Stripe</v>
      </c>
      <c r="R19" s="78" cm="1">
        <f t="array" ref="R19">INDEX(dtbBankSXL[Bank],($M19-1)*6+R$10)</f>
        <v>-191.34</v>
      </c>
      <c r="S19" s="78" cm="1">
        <f t="array" ref="S19">INDEX(dtbBankSXL[Bank],($M19-1)*6+S$10)</f>
        <v>12362.09</v>
      </c>
      <c r="T19" s="78"/>
      <c r="V19" s="95">
        <v>45268</v>
      </c>
      <c r="W19" t="str">
        <v>Direct Credit</v>
      </c>
      <c r="X19" t="str">
        <v>Stripe Payments</v>
      </c>
      <c r="Y19" t="str">
        <v>Trf Rtkz7Nfd Stripe</v>
      </c>
      <c r="Z19" s="78">
        <v>-191.34</v>
      </c>
      <c r="AA19" s="78">
        <v>12362.09</v>
      </c>
    </row>
    <row r="20" spans="11:27" x14ac:dyDescent="0.25">
      <c r="K20" s="39">
        <v>9769.2999999999993</v>
      </c>
      <c r="L20" s="38"/>
      <c r="M20" s="84">
        <f>ROW(dtbOutSXL[[#This Row],[TranDate]])-ROW(dtbOutSXL[[#Headers],[RowIndex]])</f>
        <v>6</v>
      </c>
      <c r="N20" s="77" cm="1">
        <f t="array" ref="N20">INDEX(dtbBankSXL[Bank],($M20-1)*6+N$10)</f>
        <v>45267</v>
      </c>
      <c r="O20" t="str" cm="1">
        <f t="array" ref="O20">INDEX(dtbBankSXL[Bank],($M20-1)*6+O$10)</f>
        <v>Payment</v>
      </c>
      <c r="P20" t="str" cm="1">
        <f t="array" ref="P20">INDEX(dtbBankSXL[Bank],($M20-1)*6+P$10)</f>
        <v>A E Depp</v>
      </c>
      <c r="Q20" t="str">
        <f>T(INDEX(dtbBankSXL[Bank],($M20-1)*6+Q$10))</f>
        <v>Cherry Festi Vl Sag Sod</v>
      </c>
      <c r="R20" s="78" cm="1">
        <f t="array" ref="R20">INDEX(dtbBankSXL[Bank],($M20-1)*6+R$10)</f>
        <v>250</v>
      </c>
      <c r="S20" s="78" cm="1">
        <f t="array" ref="S20">INDEX(dtbBankSXL[Bank],($M20-1)*6+S$10)</f>
        <v>12170.75</v>
      </c>
      <c r="T20" s="78"/>
      <c r="V20" s="95">
        <v>45267</v>
      </c>
      <c r="W20" t="str">
        <v>Payment</v>
      </c>
      <c r="X20" t="str">
        <v>A E Depp</v>
      </c>
      <c r="Y20" t="str">
        <v>Cherry Festi Vl Sag Sod</v>
      </c>
      <c r="Z20" s="78">
        <v>250</v>
      </c>
      <c r="AA20" s="78">
        <v>12170.75</v>
      </c>
    </row>
    <row r="21" spans="11:27" x14ac:dyDescent="0.25">
      <c r="K21" s="40">
        <v>45280</v>
      </c>
      <c r="L21" s="38"/>
      <c r="M21" s="84">
        <f>ROW(dtbOutSXL[[#This Row],[TranDate]])-ROW(dtbOutSXL[[#Headers],[RowIndex]])</f>
        <v>7</v>
      </c>
      <c r="N21" s="77" cm="1">
        <f t="array" ref="N21">INDEX(dtbBankSXL[Bank],($M21-1)*6+N$10)</f>
        <v>45261</v>
      </c>
      <c r="O21" t="str" cm="1">
        <f t="array" ref="O21">INDEX(dtbBankSXL[Bank],($M21-1)*6+O$10)</f>
        <v>Direct Credit</v>
      </c>
      <c r="P21" t="str" cm="1">
        <f t="array" ref="P21">INDEX(dtbBankSXL[Bank],($M21-1)*6+P$10)</f>
        <v>Stripe Payments</v>
      </c>
      <c r="Q21" t="str">
        <f>T(INDEX(dtbBankSXL[Bank],($M21-1)*6+Q$10))</f>
        <v>Trf Rpfwp36U Stripe</v>
      </c>
      <c r="R21" s="78" cm="1">
        <f t="array" ref="R21">INDEX(dtbBankSXL[Bank],($M21-1)*6+R$10)</f>
        <v>-28.59</v>
      </c>
      <c r="S21" s="78" cm="1">
        <f t="array" ref="S21">INDEX(dtbBankSXL[Bank],($M21-1)*6+S$10)</f>
        <v>12420.75</v>
      </c>
      <c r="T21" s="78"/>
      <c r="V21" s="95">
        <v>45261</v>
      </c>
      <c r="W21" t="str">
        <v>Direct Credit</v>
      </c>
      <c r="X21" t="str">
        <v>Stripe Payments</v>
      </c>
      <c r="Y21" t="str">
        <v>Trf Rpfwp36U Stripe</v>
      </c>
      <c r="Z21" s="78">
        <v>-28.59</v>
      </c>
      <c r="AA21" s="78">
        <v>12420.75</v>
      </c>
    </row>
    <row r="22" spans="11:27" x14ac:dyDescent="0.25">
      <c r="K22" s="38" t="s">
        <v>39</v>
      </c>
      <c r="L22" s="38"/>
      <c r="M22" s="84">
        <f>ROW(dtbOutSXL[[#This Row],[TranDate]])-ROW(dtbOutSXL[[#Headers],[RowIndex]])</f>
        <v>8</v>
      </c>
      <c r="N22" s="77" cm="1">
        <f t="array" ref="N22">INDEX(dtbBankSXL[Bank],($M22-1)*6+N$10)</f>
        <v>45260</v>
      </c>
      <c r="O22" t="str" cm="1">
        <f t="array" ref="O22">INDEX(dtbBankSXL[Bank],($M22-1)*6+O$10)</f>
        <v>Bank Fee</v>
      </c>
      <c r="P22" t="str" cm="1">
        <f t="array" ref="P22">INDEX(dtbBankSXL[Bank],($M22-1)*6+P$10)</f>
        <v>Monthly A/C Fee</v>
      </c>
      <c r="Q22" t="str">
        <f>T(INDEX(dtbBankSXL[Bank],($M22-1)*6+Q$10))</f>
        <v/>
      </c>
      <c r="R22" s="78" cm="1">
        <f t="array" ref="R22">INDEX(dtbBankSXL[Bank],($M22-1)*6+R$10)</f>
        <v>8.5</v>
      </c>
      <c r="S22" s="78" cm="1">
        <f t="array" ref="S22">INDEX(dtbBankSXL[Bank],($M22-1)*6+S$10)</f>
        <v>12392.16</v>
      </c>
      <c r="T22" s="78"/>
      <c r="V22" s="95">
        <v>45260</v>
      </c>
      <c r="W22" t="str">
        <v>Bank Fee</v>
      </c>
      <c r="X22" t="str">
        <v>Monthly A/C Fee</v>
      </c>
      <c r="Y22">
        <v>0</v>
      </c>
      <c r="Z22" s="78">
        <v>8.5</v>
      </c>
      <c r="AA22" s="78">
        <v>12392.16</v>
      </c>
    </row>
    <row r="23" spans="11:27" x14ac:dyDescent="0.25">
      <c r="K23" s="38" t="s">
        <v>79</v>
      </c>
      <c r="L23" s="38"/>
      <c r="M23" s="84">
        <f>ROW(dtbOutSXL[[#This Row],[TranDate]])-ROW(dtbOutSXL[[#Headers],[RowIndex]])</f>
        <v>9</v>
      </c>
      <c r="N23" s="77" cm="1">
        <f t="array" ref="N23">INDEX(dtbBankSXL[Bank],($M23-1)*6+N$10)</f>
        <v>45258</v>
      </c>
      <c r="O23" t="str" cm="1">
        <f t="array" ref="O23">INDEX(dtbBankSXL[Bank],($M23-1)*6+O$10)</f>
        <v>Direct Credit</v>
      </c>
      <c r="P23" t="str" cm="1">
        <f t="array" ref="P23">INDEX(dtbBankSXL[Bank],($M23-1)*6+P$10)</f>
        <v>Stripe Payments</v>
      </c>
      <c r="Q23" t="str">
        <f>T(INDEX(dtbBankSXL[Bank],($M23-1)*6+Q$10))</f>
        <v>Trf Zmi7Uimr Stripe</v>
      </c>
      <c r="R23" s="78" cm="1">
        <f t="array" ref="R23">INDEX(dtbBankSXL[Bank],($M23-1)*6+R$10)</f>
        <v>-191.2</v>
      </c>
      <c r="S23" s="78" cm="1">
        <f t="array" ref="S23">INDEX(dtbBankSXL[Bank],($M23-1)*6+S$10)</f>
        <v>12400.66</v>
      </c>
      <c r="T23" s="78"/>
      <c r="V23" s="95">
        <v>45258</v>
      </c>
      <c r="W23" t="str">
        <v>Direct Credit</v>
      </c>
      <c r="X23" t="str">
        <v>Stripe Payments</v>
      </c>
      <c r="Y23" t="str">
        <v>Trf Zmi7Uimr Stripe</v>
      </c>
      <c r="Z23" s="78">
        <v>-191.2</v>
      </c>
      <c r="AA23" s="78">
        <v>12400.66</v>
      </c>
    </row>
    <row r="24" spans="11:27" x14ac:dyDescent="0.25">
      <c r="K24" s="38" t="s">
        <v>78</v>
      </c>
      <c r="L24" s="38"/>
      <c r="M24" s="84">
        <f>ROW(dtbOutSXL[[#This Row],[TranDate]])-ROW(dtbOutSXL[[#Headers],[RowIndex]])</f>
        <v>10</v>
      </c>
      <c r="N24" s="77" cm="1">
        <f t="array" ref="N24">INDEX(dtbBankSXL[Bank],($M24-1)*6+N$10)</f>
        <v>45257</v>
      </c>
      <c r="O24" t="str" cm="1">
        <f t="array" ref="O24">INDEX(dtbBankSXL[Bank],($M24-1)*6+O$10)</f>
        <v>Tax Payment</v>
      </c>
      <c r="P24" t="str" cm="1">
        <f t="array" ref="P24">INDEX(dtbBankSXL[Bank],($M24-1)*6+P$10)</f>
        <v>Inland Revenue GST</v>
      </c>
      <c r="Q24" t="str">
        <f>T(INDEX(dtbBankSXL[Bank],($M24-1)*6+Q$10))</f>
        <v>115-689-304 Gst</v>
      </c>
      <c r="R24" s="78" cm="1">
        <f t="array" ref="R24">INDEX(dtbBankSXL[Bank],($M24-1)*6+R$10)</f>
        <v>8695.0499999999993</v>
      </c>
      <c r="S24" s="78" cm="1">
        <f t="array" ref="S24">INDEX(dtbBankSXL[Bank],($M24-1)*6+S$10)</f>
        <v>12209.46</v>
      </c>
      <c r="T24" s="78"/>
      <c r="V24" s="95">
        <v>45257</v>
      </c>
      <c r="W24" t="str">
        <v>Tax Payment</v>
      </c>
      <c r="X24" t="str">
        <v>Inland Revenue GST</v>
      </c>
      <c r="Y24" t="str">
        <v>115-689-304 Gst</v>
      </c>
      <c r="Z24" s="78">
        <v>8695.0499999999993</v>
      </c>
      <c r="AA24" s="78">
        <v>12209.46</v>
      </c>
    </row>
    <row r="25" spans="11:27" x14ac:dyDescent="0.25">
      <c r="K25" s="39">
        <v>400</v>
      </c>
      <c r="L25" s="38"/>
      <c r="M25" s="84">
        <f>ROW(dtbOutSXL[[#This Row],[TranDate]])-ROW(dtbOutSXL[[#Headers],[RowIndex]])</f>
        <v>11</v>
      </c>
      <c r="N25" s="77" cm="1">
        <f t="array" ref="N25">INDEX(dtbBankSXL[Bank],($M25-1)*6+N$10)</f>
        <v>45252</v>
      </c>
      <c r="O25" t="str" cm="1">
        <f t="array" ref="O25">INDEX(dtbBankSXL[Bank],($M25-1)*6+O$10)</f>
        <v>Direct Credit</v>
      </c>
      <c r="P25" t="str" cm="1">
        <f t="array" ref="P25">INDEX(dtbBankSXL[Bank],($M25-1)*6+P$10)</f>
        <v>Stripe Payments</v>
      </c>
      <c r="Q25" t="str">
        <f>T(INDEX(dtbBankSXL[Bank],($M25-1)*6+Q$10))</f>
        <v>Trf 15Foa16S Stripe</v>
      </c>
      <c r="R25" s="78" cm="1">
        <f t="array" ref="R25">INDEX(dtbBankSXL[Bank],($M25-1)*6+R$10)</f>
        <v>-192.54</v>
      </c>
      <c r="S25" s="78" cm="1">
        <f t="array" ref="S25">INDEX(dtbBankSXL[Bank],($M25-1)*6+S$10)</f>
        <v>20904.509999999998</v>
      </c>
      <c r="T25" s="78"/>
      <c r="V25" s="95">
        <v>45252</v>
      </c>
      <c r="W25" t="str">
        <v>Direct Credit</v>
      </c>
      <c r="X25" t="str">
        <v>Stripe Payments</v>
      </c>
      <c r="Y25" t="str">
        <v>Trf 15Foa16S Stripe</v>
      </c>
      <c r="Z25" s="78">
        <v>-192.54</v>
      </c>
      <c r="AA25" s="78">
        <v>20904.509999999998</v>
      </c>
    </row>
    <row r="26" spans="11:27" x14ac:dyDescent="0.25">
      <c r="K26" s="39">
        <v>9777.7999999999993</v>
      </c>
      <c r="L26" s="38"/>
      <c r="M26" s="84">
        <f>ROW(dtbOutSXL[[#This Row],[TranDate]])-ROW(dtbOutSXL[[#Headers],[RowIndex]])</f>
        <v>12</v>
      </c>
      <c r="N26" s="77" cm="1">
        <f t="array" ref="N26">INDEX(dtbBankSXL[Bank],($M26-1)*6+N$10)</f>
        <v>45247</v>
      </c>
      <c r="O26" t="str" cm="1">
        <f t="array" ref="O26">INDEX(dtbBankSXL[Bank],($M26-1)*6+O$10)</f>
        <v>Direct Credit</v>
      </c>
      <c r="P26" t="str" cm="1">
        <f t="array" ref="P26">INDEX(dtbBankSXL[Bank],($M26-1)*6+P$10)</f>
        <v>Stripe Payments</v>
      </c>
      <c r="Q26" t="str">
        <f>T(INDEX(dtbBankSXL[Bank],($M26-1)*6+Q$10))</f>
        <v>Trf Sxrn50H8 Stripe</v>
      </c>
      <c r="R26" s="78" cm="1">
        <f t="array" ref="R26">INDEX(dtbBankSXL[Bank],($M26-1)*6+R$10)</f>
        <v>-614.09</v>
      </c>
      <c r="S26" s="78" cm="1">
        <f t="array" ref="S26">INDEX(dtbBankSXL[Bank],($M26-1)*6+S$10)</f>
        <v>20711.97</v>
      </c>
      <c r="T26" s="78"/>
      <c r="V26" s="95">
        <v>45247</v>
      </c>
      <c r="W26" t="str">
        <v>Direct Credit</v>
      </c>
      <c r="X26" t="str">
        <v>Stripe Payments</v>
      </c>
      <c r="Y26" t="str">
        <v>Trf Sxrn50H8 Stripe</v>
      </c>
      <c r="Z26" s="78">
        <v>-614.09</v>
      </c>
      <c r="AA26" s="78">
        <v>20711.97</v>
      </c>
    </row>
    <row r="27" spans="11:27" x14ac:dyDescent="0.25">
      <c r="K27" s="40">
        <v>45278</v>
      </c>
      <c r="L27" s="38"/>
      <c r="M27" s="84">
        <f>ROW(dtbOutSXL[[#This Row],[TranDate]])-ROW(dtbOutSXL[[#Headers],[RowIndex]])</f>
        <v>13</v>
      </c>
      <c r="N27" s="77" cm="1">
        <f t="array" ref="N27">INDEX(dtbBankSXL[Bank],($M27-1)*6+N$10)</f>
        <v>45244</v>
      </c>
      <c r="O27" t="str" cm="1">
        <f t="array" ref="O27">INDEX(dtbBankSXL[Bank],($M27-1)*6+O$10)</f>
        <v>Payment</v>
      </c>
      <c r="P27" t="str" cm="1">
        <f t="array" ref="P27">INDEX(dtbBankSXL[Bank],($M27-1)*6+P$10)</f>
        <v>Sue Mu-Tzu Hsu</v>
      </c>
      <c r="Q27" t="str">
        <f>T(INDEX(dtbBankSXL[Bank],($M27-1)*6+Q$10))</f>
        <v>Cherryfestiv Pipa</v>
      </c>
      <c r="R27" s="78" cm="1">
        <f t="array" ref="R27">INDEX(dtbBankSXL[Bank],($M27-1)*6+R$10)</f>
        <v>230</v>
      </c>
      <c r="S27" s="78" cm="1">
        <f t="array" ref="S27">INDEX(dtbBankSXL[Bank],($M27-1)*6+S$10)</f>
        <v>20097.88</v>
      </c>
      <c r="T27" s="78"/>
      <c r="V27" s="95">
        <v>45244</v>
      </c>
      <c r="W27" t="str">
        <v>Payment</v>
      </c>
      <c r="X27" t="str">
        <v>Sue Mu-Tzu Hsu</v>
      </c>
      <c r="Y27" t="str">
        <v>Cherryfestiv Pipa</v>
      </c>
      <c r="Z27" s="78">
        <v>230</v>
      </c>
      <c r="AA27" s="78">
        <v>20097.88</v>
      </c>
    </row>
    <row r="28" spans="11:27" x14ac:dyDescent="0.25">
      <c r="K28" s="38" t="s">
        <v>39</v>
      </c>
      <c r="L28" s="38"/>
      <c r="M28" s="84">
        <f>ROW(dtbOutSXL[[#This Row],[TranDate]])-ROW(dtbOutSXL[[#Headers],[RowIndex]])</f>
        <v>14</v>
      </c>
      <c r="N28" s="77" cm="1">
        <f t="array" ref="N28">INDEX(dtbBankSXL[Bank],($M28-1)*6+N$10)</f>
        <v>45244</v>
      </c>
      <c r="O28" t="str" cm="1">
        <f t="array" ref="O28">INDEX(dtbBankSXL[Bank],($M28-1)*6+O$10)</f>
        <v>Payment</v>
      </c>
      <c r="P28" t="str" cm="1">
        <f t="array" ref="P28">INDEX(dtbBankSXL[Bank],($M28-1)*6+P$10)</f>
        <v>Mexican Folkloric Da</v>
      </c>
      <c r="Q28" t="str">
        <f>T(INDEX(dtbBankSXL[Bank],($M28-1)*6+Q$10))</f>
        <v>Cherryfestiv Mexican Folk Los teh</v>
      </c>
      <c r="R28" s="78" cm="1">
        <f t="array" ref="R28">INDEX(dtbBankSXL[Bank],($M28-1)*6+R$10)</f>
        <v>200</v>
      </c>
      <c r="S28" s="78" cm="1">
        <f t="array" ref="S28">INDEX(dtbBankSXL[Bank],($M28-1)*6+S$10)</f>
        <v>20327.88</v>
      </c>
      <c r="T28" s="78"/>
      <c r="V28" s="95">
        <v>45244</v>
      </c>
      <c r="W28" t="str">
        <v>Payment</v>
      </c>
      <c r="X28" t="str">
        <v>Mexican Folkloric Da</v>
      </c>
      <c r="Y28" t="str">
        <v>Cherryfestiv Mexican Folk Los teh</v>
      </c>
      <c r="Z28" s="78">
        <v>200</v>
      </c>
      <c r="AA28" s="78">
        <v>20327.88</v>
      </c>
    </row>
    <row r="29" spans="11:27" x14ac:dyDescent="0.25">
      <c r="K29" s="38" t="s">
        <v>77</v>
      </c>
      <c r="L29" s="38"/>
      <c r="M29" s="84">
        <f>ROW(dtbOutSXL[[#This Row],[TranDate]])-ROW(dtbOutSXL[[#Headers],[RowIndex]])</f>
        <v>15</v>
      </c>
      <c r="N29" s="77" cm="1">
        <f t="array" ref="N29">INDEX(dtbBankSXL[Bank],($M29-1)*6+N$10)</f>
        <v>45243</v>
      </c>
      <c r="O29" t="str" cm="1">
        <f t="array" ref="O29">INDEX(dtbBankSXL[Bank],($M29-1)*6+O$10)</f>
        <v>Payment</v>
      </c>
      <c r="P29" t="str" cm="1">
        <f t="array" ref="P29">INDEX(dtbBankSXL[Bank],($M29-1)*6+P$10)</f>
        <v>Ableowl Xl</v>
      </c>
      <c r="Q29" t="str">
        <f>T(INDEX(dtbBankSXL[Bank],($M29-1)*6+Q$10))</f>
        <v>Payment For Fantess Festival Wag</v>
      </c>
      <c r="R29" s="78" cm="1">
        <f t="array" ref="R29">INDEX(dtbBankSXL[Bank],($M29-1)*6+R$10)</f>
        <v>4887.37</v>
      </c>
      <c r="S29" s="78" cm="1">
        <f t="array" ref="S29">INDEX(dtbBankSXL[Bank],($M29-1)*6+S$10)</f>
        <v>20527.88</v>
      </c>
      <c r="T29" s="78"/>
      <c r="V29" s="95">
        <v>45243</v>
      </c>
      <c r="W29" t="str">
        <v>Payment</v>
      </c>
      <c r="X29" t="str">
        <v>Ableowl Xl</v>
      </c>
      <c r="Y29" t="str">
        <v>Payment For Fantess Festival Wag</v>
      </c>
      <c r="Z29" s="78">
        <v>4887.37</v>
      </c>
      <c r="AA29" s="78">
        <v>20527.88</v>
      </c>
    </row>
    <row r="30" spans="11:27" x14ac:dyDescent="0.25">
      <c r="K30" s="38" t="s">
        <v>76</v>
      </c>
      <c r="L30" s="38"/>
      <c r="M30" s="84">
        <f>ROW(dtbOutSXL[[#This Row],[TranDate]])-ROW(dtbOutSXL[[#Headers],[RowIndex]])</f>
        <v>16</v>
      </c>
      <c r="N30" s="77" cm="1">
        <f t="array" ref="N30">INDEX(dtbBankSXL[Bank],($M30-1)*6+N$10)</f>
        <v>45243</v>
      </c>
      <c r="O30" t="str" cm="1">
        <f t="array" ref="O30">INDEX(dtbBankSXL[Bank],($M30-1)*6+O$10)</f>
        <v>Payment</v>
      </c>
      <c r="P30" t="str" cm="1">
        <f t="array" ref="P30">INDEX(dtbBankSXL[Bank],($M30-1)*6+P$10)</f>
        <v>The Big Bang</v>
      </c>
      <c r="Q30" t="str">
        <f>T(INDEX(dtbBankSXL[Bank],($M30-1)*6+Q$10))</f>
        <v>The B&amp;B</v>
      </c>
      <c r="R30" s="78" cm="1">
        <f t="array" ref="R30">INDEX(dtbBankSXL[Bank],($M30-1)*6+R$10)</f>
        <v>-1120</v>
      </c>
      <c r="S30" s="78" cm="1">
        <f t="array" ref="S30">INDEX(dtbBankSXL[Bank],($M30-1)*6+S$10)</f>
        <v>25415.25</v>
      </c>
      <c r="T30" s="78"/>
      <c r="V30" s="95">
        <v>45243</v>
      </c>
      <c r="W30" t="str">
        <v>Payment</v>
      </c>
      <c r="X30" t="str">
        <v>The Big Bang</v>
      </c>
      <c r="Y30" t="str">
        <v>The B&amp;B</v>
      </c>
      <c r="Z30" s="78">
        <v>-1120</v>
      </c>
      <c r="AA30" s="78">
        <v>25415.25</v>
      </c>
    </row>
    <row r="31" spans="11:27" x14ac:dyDescent="0.25">
      <c r="K31" s="39">
        <v>1931.05</v>
      </c>
      <c r="L31" s="38"/>
      <c r="M31" s="84">
        <f>ROW(dtbOutSXL[[#This Row],[TranDate]])-ROW(dtbOutSXL[[#Headers],[RowIndex]])</f>
        <v>17</v>
      </c>
      <c r="N31" s="77" cm="1">
        <f t="array" ref="N31">INDEX(dtbBankSXL[Bank],($M31-1)*6+N$10)</f>
        <v>45238</v>
      </c>
      <c r="O31" t="str" cm="1">
        <f t="array" ref="O31">INDEX(dtbBankSXL[Bank],($M31-1)*6+O$10)</f>
        <v>Payment</v>
      </c>
      <c r="P31" t="str" cm="1">
        <f t="array" ref="P31">INDEX(dtbBankSXL[Bank],($M31-1)*6+P$10)</f>
        <v>Hamilton Chinese Dan</v>
      </c>
      <c r="Q31" t="str">
        <f>T(INDEX(dtbBankSXL[Bank],($M31-1)*6+Q$10))</f>
        <v>Cherryfestiv dancestud</v>
      </c>
      <c r="R31" s="78" cm="1">
        <f t="array" ref="R31">INDEX(dtbBankSXL[Bank],($M31-1)*6+R$10)</f>
        <v>240</v>
      </c>
      <c r="S31" s="78" cm="1">
        <f t="array" ref="S31">INDEX(dtbBankSXL[Bank],($M31-1)*6+S$10)</f>
        <v>24295.25</v>
      </c>
      <c r="T31" s="78"/>
      <c r="V31" s="95">
        <v>45238</v>
      </c>
      <c r="W31" t="str">
        <v>Payment</v>
      </c>
      <c r="X31" t="str">
        <v>Hamilton Chinese Dan</v>
      </c>
      <c r="Y31" t="str">
        <v>Cherryfestiv dancestud</v>
      </c>
      <c r="Z31" s="78">
        <v>240</v>
      </c>
      <c r="AA31" s="78">
        <v>24295.25</v>
      </c>
    </row>
    <row r="32" spans="11:27" x14ac:dyDescent="0.25">
      <c r="K32" s="39">
        <v>10177.799999999999</v>
      </c>
      <c r="L32" s="38"/>
      <c r="M32" s="84">
        <f>ROW(dtbOutSXL[[#This Row],[TranDate]])-ROW(dtbOutSXL[[#Headers],[RowIndex]])</f>
        <v>18</v>
      </c>
      <c r="N32" s="77" cm="1">
        <f t="array" ref="N32">INDEX(dtbBankSXL[Bank],($M32-1)*6+N$10)</f>
        <v>45236</v>
      </c>
      <c r="O32" t="str" cm="1">
        <f t="array" ref="O32">INDEX(dtbBankSXL[Bank],($M32-1)*6+O$10)</f>
        <v>Payment</v>
      </c>
      <c r="P32" t="str" cm="1">
        <f t="array" ref="P32">INDEX(dtbBankSXL[Bank],($M32-1)*6+P$10)</f>
        <v>Compound Dance</v>
      </c>
      <c r="Q32" t="str">
        <f>T(INDEX(dtbBankSXL[Bank],($M32-1)*6+Q$10))</f>
        <v>Cherryfestiv Com Dan</v>
      </c>
      <c r="R32" s="78" cm="1">
        <f t="array" ref="R32">INDEX(dtbBankSXL[Bank],($M32-1)*6+R$10)</f>
        <v>200</v>
      </c>
      <c r="S32" s="78" cm="1">
        <f t="array" ref="S32">INDEX(dtbBankSXL[Bank],($M32-1)*6+S$10)</f>
        <v>24535.25</v>
      </c>
      <c r="T32" s="78"/>
      <c r="V32" s="95">
        <v>45236</v>
      </c>
      <c r="W32" t="str">
        <v>Payment</v>
      </c>
      <c r="X32" t="str">
        <v>Compound Dance</v>
      </c>
      <c r="Y32" t="str">
        <v>Cherryfestiv Com Dan</v>
      </c>
      <c r="Z32" s="78">
        <v>200</v>
      </c>
      <c r="AA32" s="78">
        <v>24535.25</v>
      </c>
    </row>
    <row r="33" spans="11:27" x14ac:dyDescent="0.25">
      <c r="K33" s="40">
        <v>45272</v>
      </c>
      <c r="L33" s="38"/>
      <c r="M33" s="84">
        <f>ROW(dtbOutSXL[[#This Row],[TranDate]])-ROW(dtbOutSXL[[#Headers],[RowIndex]])</f>
        <v>19</v>
      </c>
      <c r="N33" s="77" cm="1">
        <f t="array" ref="N33">INDEX(dtbBankSXL[Bank],($M33-1)*6+N$10)</f>
        <v>45236</v>
      </c>
      <c r="O33" t="str" cm="1">
        <f t="array" ref="O33">INDEX(dtbBankSXL[Bank],($M33-1)*6+O$10)</f>
        <v>Payment</v>
      </c>
      <c r="P33" t="str" cm="1">
        <f t="array" ref="P33">INDEX(dtbBankSXL[Bank],($M33-1)*6+P$10)</f>
        <v>Sue So</v>
      </c>
      <c r="Q33" t="str">
        <f>T(INDEX(dtbBankSXL[Bank],($M33-1)*6+Q$10))</f>
        <v>Cherryfestiv Al Ping Pong</v>
      </c>
      <c r="R33" s="78" cm="1">
        <f t="array" ref="R33">INDEX(dtbBankSXL[Bank],($M33-1)*6+R$10)</f>
        <v>200</v>
      </c>
      <c r="S33" s="78" cm="1">
        <f t="array" ref="S33">INDEX(dtbBankSXL[Bank],($M33-1)*6+S$10)</f>
        <v>24735.25</v>
      </c>
      <c r="T33" s="78"/>
      <c r="V33" s="95">
        <v>45236</v>
      </c>
      <c r="W33" t="str">
        <v>Payment</v>
      </c>
      <c r="X33" t="str">
        <v>Sue So</v>
      </c>
      <c r="Y33" t="str">
        <v>Cherryfestiv Al Ping Pong</v>
      </c>
      <c r="Z33" s="78">
        <v>200</v>
      </c>
      <c r="AA33" s="78">
        <v>24735.25</v>
      </c>
    </row>
    <row r="34" spans="11:27" x14ac:dyDescent="0.25">
      <c r="K34" s="38" t="s">
        <v>39</v>
      </c>
      <c r="L34" s="38"/>
      <c r="M34" s="84">
        <f>ROW(dtbOutSXL[[#This Row],[TranDate]])-ROW(dtbOutSXL[[#Headers],[RowIndex]])</f>
        <v>20</v>
      </c>
      <c r="N34" s="77" cm="1">
        <f t="array" ref="N34">INDEX(dtbBankSXL[Bank],($M34-1)*6+N$10)</f>
        <v>45236</v>
      </c>
      <c r="O34" t="str" cm="1">
        <f t="array" ref="O34">INDEX(dtbBankSXL[Bank],($M34-1)*6+O$10)</f>
        <v>Payment</v>
      </c>
      <c r="P34" t="str" cm="1">
        <f t="array" ref="P34">INDEX(dtbBankSXL[Bank],($M34-1)*6+P$10)</f>
        <v>The Sound Of Music</v>
      </c>
      <c r="Q34" t="str">
        <f>T(INDEX(dtbBankSXL[Bank],($M34-1)*6+Q$10))</f>
        <v xml:space="preserve">Cheryfestiva Lthe Sound O </v>
      </c>
      <c r="R34" s="78" cm="1">
        <f t="array" ref="R34">INDEX(dtbBankSXL[Bank],($M34-1)*6+R$10)</f>
        <v>200</v>
      </c>
      <c r="S34" s="78" cm="1">
        <f t="array" ref="S34">INDEX(dtbBankSXL[Bank],($M34-1)*6+S$10)</f>
        <v>24935.25</v>
      </c>
      <c r="T34" s="78"/>
      <c r="V34" s="95">
        <v>45236</v>
      </c>
      <c r="W34" t="str">
        <v>Payment</v>
      </c>
      <c r="X34" t="str">
        <v>The Sound Of Music</v>
      </c>
      <c r="Y34" t="str">
        <v xml:space="preserve">Cheryfestiva Lthe Sound O </v>
      </c>
      <c r="Z34" s="78">
        <v>200</v>
      </c>
      <c r="AA34" s="78">
        <v>24935.25</v>
      </c>
    </row>
    <row r="35" spans="11:27" x14ac:dyDescent="0.25">
      <c r="K35" s="38" t="s">
        <v>75</v>
      </c>
      <c r="L35" s="38"/>
      <c r="M35" s="84">
        <f>ROW(dtbOutSXL[[#This Row],[TranDate]])-ROW(dtbOutSXL[[#Headers],[RowIndex]])</f>
        <v>21</v>
      </c>
      <c r="N35" s="77" cm="1">
        <f t="array" ref="N35">INDEX(dtbBankSXL[Bank],($M35-1)*6+N$10)</f>
        <v>45233</v>
      </c>
      <c r="O35" t="str" cm="1">
        <f t="array" ref="O35">INDEX(dtbBankSXL[Bank],($M35-1)*6+O$10)</f>
        <v>Payment</v>
      </c>
      <c r="P35" t="str" cm="1">
        <f t="array" ref="P35">INDEX(dtbBankSXL[Bank],($M35-1)*6+P$10)</f>
        <v>Aldo Lib</v>
      </c>
      <c r="Q35" t="str">
        <f>T(INDEX(dtbBankSXL[Bank],($M35-1)*6+Q$10))</f>
        <v>Cherryfestia L Erhu Yu</v>
      </c>
      <c r="R35" s="78" cm="1">
        <f t="array" ref="R35">INDEX(dtbBankSXL[Bank],($M35-1)*6+R$10)</f>
        <v>200</v>
      </c>
      <c r="S35" s="78" cm="1">
        <f t="array" ref="S35">INDEX(dtbBankSXL[Bank],($M35-1)*6+S$10)</f>
        <v>25135.25</v>
      </c>
      <c r="T35" s="78"/>
      <c r="V35" s="95">
        <v>45233</v>
      </c>
      <c r="W35" t="str">
        <v>Payment</v>
      </c>
      <c r="X35" t="str">
        <v>Aldo Lib</v>
      </c>
      <c r="Y35" t="str">
        <v>Cherryfestia L Erhu Yu</v>
      </c>
      <c r="Z35" s="78">
        <v>200</v>
      </c>
      <c r="AA35" s="78">
        <v>25135.25</v>
      </c>
    </row>
    <row r="36" spans="11:27" x14ac:dyDescent="0.25">
      <c r="K36" s="38" t="s">
        <v>74</v>
      </c>
      <c r="L36" s="38"/>
      <c r="M36" s="84">
        <f>ROW(dtbOutSXL[[#This Row],[TranDate]])-ROW(dtbOutSXL[[#Headers],[RowIndex]])</f>
        <v>22</v>
      </c>
      <c r="N36" s="77" cm="1">
        <f t="array" ref="N36">INDEX(dtbBankSXL[Bank],($M36-1)*6+N$10)</f>
        <v>45233</v>
      </c>
      <c r="O36" t="str" cm="1">
        <f t="array" ref="O36">INDEX(dtbBankSXL[Bank],($M36-1)*6+O$10)</f>
        <v>Payment</v>
      </c>
      <c r="P36" t="str" cm="1">
        <f t="array" ref="P36">INDEX(dtbBankSXL[Bank],($M36-1)*6+P$10)</f>
        <v>Ding Dong</v>
      </c>
      <c r="Q36" t="str">
        <f>T(INDEX(dtbBankSXL[Bank],($M36-1)*6+Q$10))</f>
        <v>Cherryblosso Ad Lib</v>
      </c>
      <c r="R36" s="78" cm="1">
        <f t="array" ref="R36">INDEX(dtbBankSXL[Bank],($M36-1)*6+R$10)</f>
        <v>100</v>
      </c>
      <c r="S36" s="78" cm="1">
        <f t="array" ref="S36">INDEX(dtbBankSXL[Bank],($M36-1)*6+S$10)</f>
        <v>25335.25</v>
      </c>
      <c r="T36" s="78"/>
      <c r="V36" s="95">
        <v>45233</v>
      </c>
      <c r="W36" t="str">
        <v>Payment</v>
      </c>
      <c r="X36" t="str">
        <v>Ding Dong</v>
      </c>
      <c r="Y36" t="str">
        <v>Cherryblosso Ad Lib</v>
      </c>
      <c r="Z36" s="78">
        <v>100</v>
      </c>
      <c r="AA36" s="78">
        <v>25335.25</v>
      </c>
    </row>
    <row r="37" spans="11:27" x14ac:dyDescent="0.25">
      <c r="K37" s="39">
        <v>253.24</v>
      </c>
      <c r="L37" s="38"/>
      <c r="M37" s="84">
        <f>ROW(dtbOutSXL[[#This Row],[TranDate]])-ROW(dtbOutSXL[[#Headers],[RowIndex]])</f>
        <v>23</v>
      </c>
      <c r="N37" s="77" cm="1">
        <f t="array" ref="N37">INDEX(dtbBankSXL[Bank],($M37-1)*6+N$10)</f>
        <v>45231</v>
      </c>
      <c r="O37" t="str" cm="1">
        <f t="array" ref="O37">INDEX(dtbBankSXL[Bank],($M37-1)*6+O$10)</f>
        <v>Payment</v>
      </c>
      <c r="P37" t="str" cm="1">
        <f t="array" ref="P37">INDEX(dtbBankSXL[Bank],($M37-1)*6+P$10)</f>
        <v>P S refund</v>
      </c>
      <c r="Q37" t="str">
        <f>T(INDEX(dtbBankSXL[Bank],($M37-1)*6+Q$10))</f>
        <v>Refund Of Overpay</v>
      </c>
      <c r="R37" s="78" cm="1">
        <f t="array" ref="R37">INDEX(dtbBankSXL[Bank],($M37-1)*6+R$10)</f>
        <v>20</v>
      </c>
      <c r="S37" s="78" cm="1">
        <f t="array" ref="S37">INDEX(dtbBankSXL[Bank],($M37-1)*6+S$10)</f>
        <v>25435.25</v>
      </c>
      <c r="T37" s="78"/>
      <c r="V37" s="95">
        <v>45231</v>
      </c>
      <c r="W37" t="str">
        <v>Payment</v>
      </c>
      <c r="X37" t="str">
        <v>P S refund</v>
      </c>
      <c r="Y37" t="str">
        <v>Refund Of Overpay</v>
      </c>
      <c r="Z37" s="78">
        <v>20</v>
      </c>
      <c r="AA37" s="78">
        <v>25435.25</v>
      </c>
    </row>
    <row r="38" spans="11:27" x14ac:dyDescent="0.25">
      <c r="K38" s="39">
        <v>12108.85</v>
      </c>
      <c r="L38" s="38"/>
      <c r="M38" s="84"/>
      <c r="N38" s="81"/>
      <c r="O38" s="38"/>
      <c r="P38" s="38"/>
      <c r="Q38" s="82"/>
      <c r="R38" s="83"/>
      <c r="S38" s="78"/>
      <c r="T38" s="78"/>
    </row>
    <row r="39" spans="11:27" x14ac:dyDescent="0.25">
      <c r="K39" s="40">
        <v>45268</v>
      </c>
      <c r="L39" s="38"/>
      <c r="M39" s="84"/>
      <c r="N39" s="79"/>
      <c r="R39" s="78"/>
      <c r="S39" s="78"/>
      <c r="T39" s="78"/>
    </row>
    <row r="40" spans="11:27" x14ac:dyDescent="0.25">
      <c r="K40" s="38" t="s">
        <v>62</v>
      </c>
      <c r="L40" s="38"/>
      <c r="M40" s="84"/>
      <c r="N40" s="79"/>
      <c r="R40" s="78"/>
      <c r="S40" s="78"/>
      <c r="T40" s="78"/>
    </row>
    <row r="41" spans="11:27" x14ac:dyDescent="0.25">
      <c r="K41" s="38" t="s">
        <v>61</v>
      </c>
      <c r="L41" s="38"/>
      <c r="M41" s="84"/>
      <c r="N41" s="79"/>
      <c r="R41" s="78"/>
      <c r="S41" s="78"/>
      <c r="T41" s="78"/>
    </row>
    <row r="42" spans="11:27" x14ac:dyDescent="0.25">
      <c r="K42" s="38" t="s">
        <v>73</v>
      </c>
      <c r="L42" s="38"/>
      <c r="M42" s="84"/>
      <c r="N42" s="79"/>
      <c r="R42" s="78"/>
      <c r="S42" s="78"/>
      <c r="T42" s="78"/>
    </row>
    <row r="43" spans="11:27" x14ac:dyDescent="0.25">
      <c r="K43" s="39">
        <v>-191.34</v>
      </c>
      <c r="L43" s="38"/>
      <c r="M43" s="84"/>
      <c r="N43" s="79"/>
      <c r="R43" s="78"/>
      <c r="S43" s="78"/>
      <c r="T43" s="78"/>
    </row>
    <row r="44" spans="11:27" x14ac:dyDescent="0.25">
      <c r="K44" s="39">
        <v>12362.09</v>
      </c>
      <c r="L44" s="38"/>
      <c r="M44" s="84"/>
      <c r="N44" s="79"/>
      <c r="R44" s="78"/>
      <c r="S44" s="78"/>
      <c r="T44" s="78"/>
    </row>
    <row r="45" spans="11:27" x14ac:dyDescent="0.25">
      <c r="K45" s="40">
        <v>45267</v>
      </c>
      <c r="L45" s="38"/>
      <c r="M45" s="84"/>
      <c r="N45" s="79"/>
      <c r="R45" s="78"/>
      <c r="S45" s="78"/>
      <c r="T45" s="78"/>
    </row>
    <row r="46" spans="11:27" x14ac:dyDescent="0.25">
      <c r="K46" s="38" t="s">
        <v>39</v>
      </c>
      <c r="L46" s="38"/>
      <c r="M46" s="84"/>
      <c r="N46" s="79"/>
      <c r="R46" s="78"/>
      <c r="S46" s="78"/>
      <c r="T46" s="78"/>
    </row>
    <row r="47" spans="11:27" x14ac:dyDescent="0.25">
      <c r="K47" s="38" t="s">
        <v>72</v>
      </c>
      <c r="L47" s="38"/>
      <c r="M47" s="84"/>
      <c r="N47" s="79"/>
      <c r="R47" s="78"/>
      <c r="S47" s="78"/>
      <c r="T47" s="78"/>
    </row>
    <row r="48" spans="11:27" x14ac:dyDescent="0.25">
      <c r="K48" s="38" t="s">
        <v>71</v>
      </c>
      <c r="L48" s="38"/>
      <c r="M48" s="84"/>
      <c r="N48" s="79"/>
      <c r="R48" s="78"/>
      <c r="S48" s="78"/>
      <c r="T48" s="78"/>
    </row>
    <row r="49" spans="11:20" x14ac:dyDescent="0.25">
      <c r="K49" s="39">
        <v>250</v>
      </c>
      <c r="L49" s="38"/>
      <c r="M49" s="84"/>
      <c r="N49" s="79"/>
      <c r="R49" s="78"/>
      <c r="S49" s="78"/>
      <c r="T49" s="78"/>
    </row>
    <row r="50" spans="11:20" x14ac:dyDescent="0.25">
      <c r="K50" s="39">
        <v>12170.75</v>
      </c>
      <c r="L50" s="38"/>
      <c r="M50" s="84"/>
      <c r="N50" s="81"/>
      <c r="O50" s="38"/>
      <c r="P50" s="38"/>
      <c r="Q50" s="85"/>
      <c r="R50" s="83"/>
      <c r="S50" s="78"/>
      <c r="T50" s="78"/>
    </row>
    <row r="51" spans="11:20" x14ac:dyDescent="0.25">
      <c r="K51" s="40">
        <v>45261</v>
      </c>
      <c r="L51" s="38"/>
      <c r="M51" s="38"/>
      <c r="N51" s="38"/>
      <c r="O51" s="38"/>
      <c r="P51" s="38"/>
      <c r="Q51" s="38"/>
      <c r="R51" s="38"/>
      <c r="S51" s="38"/>
    </row>
    <row r="52" spans="11:20" x14ac:dyDescent="0.25">
      <c r="K52" s="38" t="s">
        <v>62</v>
      </c>
      <c r="L52" s="38"/>
      <c r="M52" s="38"/>
      <c r="N52" s="38"/>
      <c r="O52" s="38"/>
      <c r="P52" s="38"/>
      <c r="Q52" s="38"/>
      <c r="R52" s="38"/>
      <c r="S52" s="38"/>
    </row>
    <row r="53" spans="11:20" x14ac:dyDescent="0.25">
      <c r="K53" s="38" t="s">
        <v>61</v>
      </c>
      <c r="L53" s="38"/>
      <c r="M53" s="38"/>
      <c r="N53" s="38"/>
      <c r="O53" s="38"/>
      <c r="P53" s="38"/>
      <c r="Q53" s="38"/>
      <c r="R53" s="38"/>
      <c r="S53" s="38"/>
    </row>
    <row r="54" spans="11:20" x14ac:dyDescent="0.25">
      <c r="K54" s="38" t="s">
        <v>70</v>
      </c>
      <c r="L54" s="38"/>
      <c r="M54" s="38"/>
      <c r="N54" s="38"/>
      <c r="O54" s="38"/>
      <c r="P54" s="38"/>
      <c r="Q54" s="38"/>
      <c r="R54" s="38"/>
      <c r="S54" s="38"/>
    </row>
    <row r="55" spans="11:20" x14ac:dyDescent="0.25">
      <c r="K55" s="39">
        <v>-28.59</v>
      </c>
      <c r="L55" s="38"/>
      <c r="M55" s="38"/>
      <c r="N55" s="38"/>
      <c r="O55" s="38"/>
      <c r="P55" s="38"/>
      <c r="Q55" s="38"/>
      <c r="R55" s="38"/>
      <c r="S55" s="38"/>
    </row>
    <row r="56" spans="11:20" x14ac:dyDescent="0.25">
      <c r="K56" s="39">
        <v>12420.75</v>
      </c>
      <c r="L56" s="38"/>
      <c r="M56" s="38"/>
      <c r="N56" s="38"/>
      <c r="O56" s="38"/>
      <c r="P56" s="38"/>
      <c r="Q56" s="38"/>
      <c r="R56" s="38"/>
      <c r="S56" s="38"/>
    </row>
    <row r="57" spans="11:20" x14ac:dyDescent="0.25">
      <c r="K57" s="40">
        <v>45260</v>
      </c>
      <c r="L57" s="38"/>
      <c r="M57" s="38"/>
      <c r="N57" s="38"/>
      <c r="O57" s="38"/>
      <c r="P57" s="38"/>
      <c r="Q57" s="38"/>
      <c r="R57" s="38"/>
      <c r="S57" s="38"/>
    </row>
    <row r="58" spans="11:20" x14ac:dyDescent="0.25">
      <c r="K58" s="38" t="s">
        <v>69</v>
      </c>
      <c r="L58" s="38"/>
      <c r="M58" s="38"/>
      <c r="N58" s="38"/>
      <c r="O58" s="38"/>
      <c r="P58" s="38"/>
      <c r="Q58" s="38"/>
      <c r="R58" s="38"/>
      <c r="S58" s="38"/>
    </row>
    <row r="59" spans="11:20" x14ac:dyDescent="0.25">
      <c r="K59" s="38" t="s">
        <v>68</v>
      </c>
      <c r="L59" s="38"/>
      <c r="M59" s="38"/>
      <c r="N59" s="38"/>
      <c r="O59" s="38"/>
      <c r="P59" s="38"/>
      <c r="Q59" s="38"/>
      <c r="R59" s="38"/>
      <c r="S59" s="38"/>
    </row>
    <row r="60" spans="11:20" x14ac:dyDescent="0.25">
      <c r="K60" s="38"/>
      <c r="L60" s="38"/>
      <c r="M60" s="38"/>
      <c r="N60" s="38"/>
      <c r="O60" s="38"/>
      <c r="P60" s="38"/>
      <c r="Q60" s="38"/>
      <c r="R60" s="38"/>
      <c r="S60" s="38"/>
    </row>
    <row r="61" spans="11:20" x14ac:dyDescent="0.25">
      <c r="K61" s="39">
        <v>8.5</v>
      </c>
      <c r="L61" s="38"/>
      <c r="M61" s="38"/>
      <c r="N61" s="38"/>
      <c r="O61" s="38"/>
      <c r="P61" s="38"/>
      <c r="Q61" s="38"/>
      <c r="R61" s="38"/>
      <c r="S61" s="38"/>
    </row>
    <row r="62" spans="11:20" x14ac:dyDescent="0.25">
      <c r="K62" s="39">
        <v>12392.16</v>
      </c>
      <c r="L62" s="38"/>
      <c r="M62" s="38"/>
      <c r="N62" s="38"/>
      <c r="O62" s="38"/>
      <c r="P62" s="38"/>
      <c r="Q62" s="38"/>
      <c r="R62" s="38"/>
      <c r="S62" s="38"/>
    </row>
    <row r="63" spans="11:20" x14ac:dyDescent="0.25">
      <c r="K63" s="40">
        <v>45258</v>
      </c>
      <c r="L63" s="38"/>
      <c r="M63" s="38"/>
      <c r="N63" s="38"/>
      <c r="O63" s="38"/>
      <c r="P63" s="38"/>
      <c r="Q63" s="38"/>
      <c r="R63" s="38"/>
      <c r="S63" s="38"/>
    </row>
    <row r="64" spans="11:20" x14ac:dyDescent="0.25">
      <c r="K64" s="38" t="s">
        <v>62</v>
      </c>
      <c r="L64" s="38"/>
      <c r="M64" s="38"/>
      <c r="N64" s="38"/>
      <c r="O64" s="38"/>
      <c r="P64" s="38"/>
      <c r="Q64" s="38"/>
      <c r="R64" s="38"/>
      <c r="S64" s="38"/>
    </row>
    <row r="65" spans="11:19" x14ac:dyDescent="0.25">
      <c r="K65" s="38" t="s">
        <v>61</v>
      </c>
      <c r="L65" s="38"/>
      <c r="M65" s="38"/>
      <c r="N65" s="38"/>
      <c r="O65" s="38"/>
      <c r="P65" s="38"/>
      <c r="Q65" s="38"/>
      <c r="R65" s="38"/>
      <c r="S65" s="38"/>
    </row>
    <row r="66" spans="11:19" x14ac:dyDescent="0.25">
      <c r="K66" s="38" t="s">
        <v>67</v>
      </c>
      <c r="L66" s="38"/>
      <c r="M66" s="38"/>
      <c r="N66" s="38"/>
      <c r="O66" s="38"/>
      <c r="P66" s="38"/>
      <c r="Q66" s="38"/>
      <c r="R66" s="38"/>
      <c r="S66" s="38"/>
    </row>
    <row r="67" spans="11:19" x14ac:dyDescent="0.25">
      <c r="K67" s="39">
        <v>-191.2</v>
      </c>
      <c r="L67" s="38"/>
      <c r="M67" s="38"/>
      <c r="N67" s="38"/>
      <c r="O67" s="38"/>
      <c r="P67" s="38"/>
      <c r="Q67" s="38"/>
      <c r="R67" s="38"/>
      <c r="S67" s="38"/>
    </row>
    <row r="68" spans="11:19" x14ac:dyDescent="0.25">
      <c r="K68" s="39">
        <v>12400.66</v>
      </c>
      <c r="L68" s="38"/>
      <c r="M68" s="38"/>
      <c r="N68" s="38"/>
      <c r="O68" s="38"/>
      <c r="P68" s="38"/>
      <c r="Q68" s="38"/>
      <c r="R68" s="38"/>
      <c r="S68" s="38"/>
    </row>
    <row r="69" spans="11:19" x14ac:dyDescent="0.25">
      <c r="K69" s="40">
        <v>45257</v>
      </c>
      <c r="L69" s="38"/>
      <c r="M69" s="38"/>
      <c r="N69" s="38"/>
      <c r="O69" s="38"/>
      <c r="P69" s="38"/>
      <c r="Q69" s="38"/>
      <c r="R69" s="38"/>
      <c r="S69" s="38"/>
    </row>
    <row r="70" spans="11:19" x14ac:dyDescent="0.25">
      <c r="K70" s="38" t="s">
        <v>66</v>
      </c>
      <c r="L70" s="38"/>
      <c r="M70" s="38"/>
      <c r="N70" s="38"/>
      <c r="O70" s="38"/>
      <c r="P70" s="38"/>
      <c r="Q70" s="38"/>
      <c r="R70" s="38"/>
      <c r="S70" s="38"/>
    </row>
    <row r="71" spans="11:19" x14ac:dyDescent="0.25">
      <c r="K71" s="38" t="s">
        <v>65</v>
      </c>
      <c r="L71" s="38"/>
      <c r="M71" s="38"/>
      <c r="N71" s="38"/>
      <c r="O71" s="38"/>
      <c r="P71" s="38"/>
      <c r="Q71" s="38"/>
      <c r="R71" s="38"/>
      <c r="S71" s="38"/>
    </row>
    <row r="72" spans="11:19" x14ac:dyDescent="0.25">
      <c r="K72" s="38" t="s">
        <v>64</v>
      </c>
      <c r="L72" s="38"/>
      <c r="M72" s="38"/>
      <c r="N72" s="38"/>
      <c r="O72" s="38"/>
      <c r="P72" s="38"/>
      <c r="Q72" s="38"/>
      <c r="R72" s="38"/>
      <c r="S72" s="38"/>
    </row>
    <row r="73" spans="11:19" x14ac:dyDescent="0.25">
      <c r="K73" s="39">
        <v>8695.0499999999993</v>
      </c>
      <c r="L73" s="38"/>
      <c r="M73" s="38"/>
      <c r="N73" s="38"/>
      <c r="O73" s="38"/>
      <c r="P73" s="38"/>
      <c r="Q73" s="38"/>
      <c r="R73" s="38"/>
      <c r="S73" s="38"/>
    </row>
    <row r="74" spans="11:19" x14ac:dyDescent="0.25">
      <c r="K74" s="39">
        <v>12209.46</v>
      </c>
      <c r="L74" s="38"/>
      <c r="M74" s="38"/>
      <c r="N74" s="38"/>
      <c r="O74" s="38"/>
      <c r="P74" s="38"/>
      <c r="Q74" s="38"/>
      <c r="R74" s="38"/>
      <c r="S74" s="38"/>
    </row>
    <row r="75" spans="11:19" x14ac:dyDescent="0.25">
      <c r="K75" s="40">
        <v>45252</v>
      </c>
      <c r="L75" s="38"/>
      <c r="M75" s="38"/>
      <c r="N75" s="38"/>
      <c r="O75" s="38"/>
      <c r="P75" s="38"/>
      <c r="Q75" s="38"/>
      <c r="R75" s="38"/>
      <c r="S75" s="38"/>
    </row>
    <row r="76" spans="11:19" x14ac:dyDescent="0.25">
      <c r="K76" s="38" t="s">
        <v>62</v>
      </c>
      <c r="L76" s="38"/>
      <c r="M76" s="38"/>
      <c r="N76" s="38"/>
      <c r="O76" s="38"/>
      <c r="P76" s="38"/>
      <c r="Q76" s="38"/>
      <c r="R76" s="38"/>
      <c r="S76" s="38"/>
    </row>
    <row r="77" spans="11:19" x14ac:dyDescent="0.25">
      <c r="K77" s="38" t="s">
        <v>61</v>
      </c>
      <c r="L77" s="38"/>
      <c r="M77" s="38"/>
      <c r="N77" s="38"/>
      <c r="O77" s="38"/>
      <c r="P77" s="38"/>
      <c r="Q77" s="38"/>
      <c r="R77" s="38"/>
      <c r="S77" s="38"/>
    </row>
    <row r="78" spans="11:19" x14ac:dyDescent="0.25">
      <c r="K78" s="38" t="s">
        <v>63</v>
      </c>
      <c r="L78" s="38"/>
      <c r="M78" s="38"/>
      <c r="N78" s="38"/>
      <c r="O78" s="38"/>
      <c r="P78" s="38"/>
      <c r="Q78" s="38"/>
      <c r="R78" s="38"/>
      <c r="S78" s="38"/>
    </row>
    <row r="79" spans="11:19" x14ac:dyDescent="0.25">
      <c r="K79" s="39">
        <v>-192.54</v>
      </c>
      <c r="L79" s="38"/>
      <c r="M79" s="38"/>
      <c r="N79" s="38"/>
      <c r="O79" s="38"/>
      <c r="P79" s="38"/>
      <c r="Q79" s="38"/>
      <c r="R79" s="38"/>
      <c r="S79" s="38"/>
    </row>
    <row r="80" spans="11:19" x14ac:dyDescent="0.25">
      <c r="K80" s="39">
        <v>20904.509999999998</v>
      </c>
      <c r="L80" s="38"/>
      <c r="M80" s="38"/>
      <c r="N80" s="38"/>
      <c r="O80" s="38"/>
      <c r="P80" s="38"/>
      <c r="Q80" s="38"/>
      <c r="R80" s="38"/>
      <c r="S80" s="38"/>
    </row>
    <row r="81" spans="11:19" x14ac:dyDescent="0.25">
      <c r="K81" s="40">
        <v>45247</v>
      </c>
      <c r="L81" s="38"/>
      <c r="M81" s="38"/>
      <c r="N81" s="38"/>
      <c r="O81" s="38"/>
      <c r="P81" s="38"/>
      <c r="Q81" s="38"/>
      <c r="R81" s="38"/>
      <c r="S81" s="38"/>
    </row>
    <row r="82" spans="11:19" x14ac:dyDescent="0.25">
      <c r="K82" s="38" t="s">
        <v>62</v>
      </c>
      <c r="L82" s="38"/>
      <c r="M82" s="38"/>
      <c r="N82" s="38"/>
      <c r="O82" s="38"/>
      <c r="P82" s="38"/>
      <c r="Q82" s="38"/>
      <c r="R82" s="38"/>
      <c r="S82" s="38"/>
    </row>
    <row r="83" spans="11:19" x14ac:dyDescent="0.25">
      <c r="K83" s="38" t="s">
        <v>61</v>
      </c>
      <c r="L83" s="38"/>
      <c r="M83" s="38"/>
      <c r="N83" s="38"/>
      <c r="O83" s="38"/>
      <c r="P83" s="38"/>
      <c r="Q83" s="38"/>
      <c r="R83" s="38"/>
      <c r="S83" s="38"/>
    </row>
    <row r="84" spans="11:19" x14ac:dyDescent="0.25">
      <c r="K84" s="38" t="s">
        <v>60</v>
      </c>
      <c r="L84" s="38"/>
      <c r="M84" s="38"/>
      <c r="N84" s="38"/>
      <c r="O84" s="38"/>
      <c r="P84" s="38"/>
      <c r="Q84" s="38"/>
      <c r="R84" s="38"/>
      <c r="S84" s="38"/>
    </row>
    <row r="85" spans="11:19" x14ac:dyDescent="0.25">
      <c r="K85" s="39">
        <v>-614.09</v>
      </c>
      <c r="L85" s="38"/>
      <c r="M85" s="38"/>
      <c r="N85" s="38"/>
      <c r="O85" s="38"/>
      <c r="P85" s="38"/>
      <c r="Q85" s="38"/>
      <c r="R85" s="38"/>
      <c r="S85" s="38"/>
    </row>
    <row r="86" spans="11:19" x14ac:dyDescent="0.25">
      <c r="K86" s="39">
        <v>20711.97</v>
      </c>
      <c r="L86" s="38"/>
      <c r="M86" s="38"/>
      <c r="N86" s="38"/>
      <c r="O86" s="38"/>
      <c r="P86" s="38"/>
      <c r="Q86" s="38"/>
      <c r="R86" s="38"/>
      <c r="S86" s="38"/>
    </row>
    <row r="87" spans="11:19" x14ac:dyDescent="0.25">
      <c r="K87" s="40">
        <v>45244</v>
      </c>
      <c r="L87" s="38"/>
      <c r="M87" s="38"/>
      <c r="N87" s="38"/>
      <c r="O87" s="38"/>
      <c r="P87" s="38"/>
      <c r="Q87" s="38"/>
      <c r="R87" s="38"/>
      <c r="S87" s="38"/>
    </row>
    <row r="88" spans="11:19" x14ac:dyDescent="0.25">
      <c r="K88" s="38" t="s">
        <v>39</v>
      </c>
      <c r="L88" s="38"/>
      <c r="M88" s="38"/>
      <c r="N88" s="38"/>
      <c r="O88" s="38"/>
      <c r="P88" s="38"/>
      <c r="Q88" s="38"/>
      <c r="R88" s="38"/>
      <c r="S88" s="38"/>
    </row>
    <row r="89" spans="11:19" x14ac:dyDescent="0.25">
      <c r="K89" s="38" t="s">
        <v>59</v>
      </c>
      <c r="L89" s="38"/>
      <c r="M89" s="38"/>
      <c r="N89" s="38"/>
      <c r="O89" s="38"/>
      <c r="P89" s="38"/>
      <c r="Q89" s="38"/>
      <c r="R89" s="38"/>
      <c r="S89" s="38"/>
    </row>
    <row r="90" spans="11:19" x14ac:dyDescent="0.25">
      <c r="K90" s="38" t="s">
        <v>58</v>
      </c>
      <c r="L90" s="38"/>
      <c r="M90" s="38"/>
      <c r="N90" s="38"/>
      <c r="O90" s="38"/>
      <c r="P90" s="38"/>
      <c r="Q90" s="38"/>
      <c r="R90" s="38"/>
      <c r="S90" s="38"/>
    </row>
    <row r="91" spans="11:19" x14ac:dyDescent="0.25">
      <c r="K91" s="39">
        <v>230</v>
      </c>
      <c r="L91" s="38"/>
      <c r="M91" s="38"/>
      <c r="N91" s="38"/>
      <c r="O91" s="38"/>
      <c r="P91" s="38"/>
      <c r="Q91" s="38"/>
      <c r="R91" s="38"/>
      <c r="S91" s="38"/>
    </row>
    <row r="92" spans="11:19" x14ac:dyDescent="0.25">
      <c r="K92" s="39">
        <v>20097.88</v>
      </c>
      <c r="L92" s="38"/>
      <c r="M92" s="38"/>
      <c r="N92" s="38"/>
      <c r="O92" s="38"/>
      <c r="P92" s="38"/>
      <c r="Q92" s="38"/>
      <c r="R92" s="38"/>
      <c r="S92" s="38"/>
    </row>
    <row r="93" spans="11:19" x14ac:dyDescent="0.25">
      <c r="K93" s="40">
        <v>45244</v>
      </c>
      <c r="L93" s="38"/>
      <c r="M93" s="38"/>
      <c r="N93" s="38"/>
      <c r="O93" s="38"/>
      <c r="P93" s="38"/>
      <c r="Q93" s="38"/>
      <c r="R93" s="38"/>
      <c r="S93" s="38"/>
    </row>
    <row r="94" spans="11:19" x14ac:dyDescent="0.25">
      <c r="K94" s="38" t="s">
        <v>39</v>
      </c>
      <c r="L94" s="38"/>
      <c r="M94" s="38"/>
      <c r="N94" s="38"/>
      <c r="O94" s="38"/>
      <c r="P94" s="38"/>
      <c r="Q94" s="38"/>
      <c r="R94" s="38"/>
      <c r="S94" s="38"/>
    </row>
    <row r="95" spans="11:19" x14ac:dyDescent="0.25">
      <c r="K95" s="38" t="s">
        <v>57</v>
      </c>
      <c r="L95" s="38"/>
      <c r="M95" s="38"/>
      <c r="N95" s="38"/>
      <c r="O95" s="38"/>
      <c r="P95" s="38"/>
      <c r="Q95" s="38"/>
      <c r="R95" s="38"/>
      <c r="S95" s="38"/>
    </row>
    <row r="96" spans="11:19" x14ac:dyDescent="0.25">
      <c r="K96" s="38" t="s">
        <v>56</v>
      </c>
      <c r="L96" s="38"/>
      <c r="M96" s="38"/>
      <c r="N96" s="38"/>
      <c r="O96" s="38"/>
      <c r="P96" s="38"/>
      <c r="Q96" s="38"/>
      <c r="R96" s="38"/>
      <c r="S96" s="38"/>
    </row>
    <row r="97" spans="11:19" x14ac:dyDescent="0.25">
      <c r="K97" s="39">
        <v>200</v>
      </c>
      <c r="L97" s="38"/>
      <c r="M97" s="38"/>
      <c r="N97" s="38"/>
      <c r="O97" s="38"/>
      <c r="P97" s="38"/>
      <c r="Q97" s="38"/>
      <c r="R97" s="38"/>
      <c r="S97" s="38"/>
    </row>
    <row r="98" spans="11:19" x14ac:dyDescent="0.25">
      <c r="K98" s="39">
        <v>20327.88</v>
      </c>
      <c r="L98" s="38"/>
      <c r="M98" s="38"/>
      <c r="N98" s="38"/>
      <c r="O98" s="38"/>
      <c r="P98" s="38"/>
      <c r="Q98" s="38"/>
      <c r="R98" s="38"/>
      <c r="S98" s="38"/>
    </row>
    <row r="99" spans="11:19" x14ac:dyDescent="0.25">
      <c r="K99" s="40">
        <v>45243</v>
      </c>
      <c r="L99" s="38"/>
      <c r="M99" s="38"/>
      <c r="N99" s="38"/>
      <c r="O99" s="38"/>
      <c r="P99" s="38"/>
      <c r="Q99" s="38"/>
      <c r="R99" s="38"/>
      <c r="S99" s="38"/>
    </row>
    <row r="100" spans="11:19" x14ac:dyDescent="0.25">
      <c r="K100" s="38" t="s">
        <v>39</v>
      </c>
      <c r="L100" s="38"/>
      <c r="M100" s="38"/>
      <c r="N100" s="38"/>
      <c r="O100" s="38"/>
      <c r="P100" s="38"/>
      <c r="Q100" s="38"/>
      <c r="R100" s="38"/>
      <c r="S100" s="38"/>
    </row>
    <row r="101" spans="11:19" x14ac:dyDescent="0.25">
      <c r="K101" s="38" t="s">
        <v>55</v>
      </c>
      <c r="L101" s="38"/>
      <c r="M101" s="38"/>
      <c r="N101" s="38"/>
      <c r="O101" s="38"/>
      <c r="P101" s="38"/>
      <c r="Q101" s="38"/>
      <c r="R101" s="38"/>
      <c r="S101" s="38"/>
    </row>
    <row r="102" spans="11:19" x14ac:dyDescent="0.25">
      <c r="K102" s="38" t="s">
        <v>54</v>
      </c>
      <c r="L102" s="38"/>
      <c r="M102" s="38"/>
      <c r="N102" s="38"/>
      <c r="O102" s="38"/>
      <c r="P102" s="38"/>
      <c r="Q102" s="38"/>
      <c r="R102" s="38"/>
      <c r="S102" s="38"/>
    </row>
    <row r="103" spans="11:19" x14ac:dyDescent="0.25">
      <c r="K103" s="39">
        <v>4887.37</v>
      </c>
      <c r="L103" s="38"/>
      <c r="M103" s="38"/>
      <c r="N103" s="38"/>
      <c r="O103" s="38"/>
      <c r="P103" s="38"/>
      <c r="Q103" s="38"/>
      <c r="R103" s="38"/>
      <c r="S103" s="38"/>
    </row>
    <row r="104" spans="11:19" x14ac:dyDescent="0.25">
      <c r="K104" s="39">
        <v>20527.88</v>
      </c>
      <c r="L104" s="38"/>
      <c r="M104" s="38"/>
      <c r="N104" s="38"/>
      <c r="O104" s="38"/>
      <c r="P104" s="38"/>
      <c r="Q104" s="38"/>
      <c r="R104" s="38"/>
      <c r="S104" s="38"/>
    </row>
    <row r="105" spans="11:19" x14ac:dyDescent="0.25">
      <c r="K105" s="40">
        <v>45243</v>
      </c>
      <c r="L105" s="38"/>
      <c r="M105" s="38"/>
      <c r="N105" s="38"/>
      <c r="O105" s="38"/>
      <c r="P105" s="38"/>
      <c r="Q105" s="38"/>
      <c r="R105" s="38"/>
      <c r="S105" s="38"/>
    </row>
    <row r="106" spans="11:19" x14ac:dyDescent="0.25">
      <c r="K106" s="38" t="s">
        <v>39</v>
      </c>
      <c r="L106" s="38"/>
      <c r="M106" s="38"/>
      <c r="N106" s="38"/>
      <c r="O106" s="38"/>
      <c r="P106" s="38"/>
      <c r="Q106" s="38"/>
      <c r="R106" s="38"/>
      <c r="S106" s="38"/>
    </row>
    <row r="107" spans="11:19" x14ac:dyDescent="0.25">
      <c r="K107" s="38" t="s">
        <v>53</v>
      </c>
      <c r="L107" s="38"/>
      <c r="M107" s="38"/>
      <c r="N107" s="38"/>
      <c r="O107" s="38"/>
      <c r="P107" s="38"/>
      <c r="Q107" s="38"/>
      <c r="R107" s="38"/>
      <c r="S107" s="38"/>
    </row>
    <row r="108" spans="11:19" x14ac:dyDescent="0.25">
      <c r="K108" s="38" t="s">
        <v>52</v>
      </c>
      <c r="L108" s="38"/>
      <c r="M108" s="38"/>
      <c r="N108" s="38"/>
      <c r="O108" s="38"/>
      <c r="P108" s="38"/>
      <c r="Q108" s="38"/>
      <c r="R108" s="38"/>
      <c r="S108" s="38"/>
    </row>
    <row r="109" spans="11:19" x14ac:dyDescent="0.25">
      <c r="K109" s="39">
        <v>-1120</v>
      </c>
      <c r="L109" s="38"/>
      <c r="M109" s="38"/>
      <c r="N109" s="38"/>
      <c r="O109" s="38"/>
      <c r="P109" s="38"/>
      <c r="Q109" s="38"/>
      <c r="R109" s="38"/>
      <c r="S109" s="38"/>
    </row>
    <row r="110" spans="11:19" x14ac:dyDescent="0.25">
      <c r="K110" s="39">
        <v>25415.25</v>
      </c>
      <c r="L110" s="38"/>
      <c r="M110" s="38"/>
      <c r="N110" s="38"/>
      <c r="O110" s="38"/>
      <c r="P110" s="38"/>
      <c r="Q110" s="38"/>
      <c r="R110" s="38"/>
      <c r="S110" s="38"/>
    </row>
    <row r="111" spans="11:19" x14ac:dyDescent="0.25">
      <c r="K111" s="40">
        <v>45238</v>
      </c>
      <c r="L111" s="38"/>
      <c r="M111" s="38"/>
      <c r="N111" s="38"/>
      <c r="O111" s="38"/>
      <c r="P111" s="38"/>
      <c r="Q111" s="38"/>
      <c r="R111" s="38"/>
      <c r="S111" s="38"/>
    </row>
    <row r="112" spans="11:19" x14ac:dyDescent="0.25">
      <c r="K112" s="38" t="s">
        <v>39</v>
      </c>
      <c r="L112" s="38"/>
      <c r="M112" s="38"/>
      <c r="N112" s="38"/>
      <c r="O112" s="38"/>
      <c r="P112" s="38"/>
      <c r="Q112" s="38"/>
      <c r="R112" s="38"/>
      <c r="S112" s="38"/>
    </row>
    <row r="113" spans="11:19" x14ac:dyDescent="0.25">
      <c r="K113" s="38" t="s">
        <v>51</v>
      </c>
      <c r="L113" s="38"/>
      <c r="M113" s="38"/>
      <c r="N113" s="38"/>
      <c r="O113" s="38"/>
      <c r="P113" s="38"/>
      <c r="Q113" s="38"/>
      <c r="R113" s="38"/>
      <c r="S113" s="38"/>
    </row>
    <row r="114" spans="11:19" x14ac:dyDescent="0.25">
      <c r="K114" s="38" t="s">
        <v>50</v>
      </c>
      <c r="L114" s="38"/>
      <c r="M114" s="38"/>
      <c r="N114" s="38"/>
      <c r="O114" s="38"/>
      <c r="P114" s="38"/>
      <c r="Q114" s="38"/>
      <c r="R114" s="38"/>
      <c r="S114" s="38"/>
    </row>
    <row r="115" spans="11:19" x14ac:dyDescent="0.25">
      <c r="K115" s="39">
        <v>240</v>
      </c>
      <c r="L115" s="38"/>
      <c r="M115" s="38"/>
      <c r="N115" s="38"/>
      <c r="O115" s="38"/>
      <c r="P115" s="38"/>
      <c r="Q115" s="38"/>
      <c r="R115" s="38"/>
      <c r="S115" s="38"/>
    </row>
    <row r="116" spans="11:19" x14ac:dyDescent="0.25">
      <c r="K116" s="39">
        <v>24295.25</v>
      </c>
      <c r="L116" s="38"/>
      <c r="M116" s="38"/>
      <c r="N116" s="38"/>
      <c r="O116" s="38"/>
      <c r="P116" s="38"/>
      <c r="Q116" s="38"/>
      <c r="R116" s="38"/>
      <c r="S116" s="38"/>
    </row>
    <row r="117" spans="11:19" x14ac:dyDescent="0.25">
      <c r="K117" s="40">
        <v>45236</v>
      </c>
      <c r="L117" s="38"/>
      <c r="M117" s="38"/>
      <c r="N117" s="38"/>
      <c r="O117" s="38"/>
      <c r="P117" s="38"/>
      <c r="Q117" s="38"/>
      <c r="R117" s="38"/>
      <c r="S117" s="38"/>
    </row>
    <row r="118" spans="11:19" x14ac:dyDescent="0.25">
      <c r="K118" s="38" t="s">
        <v>39</v>
      </c>
      <c r="L118" s="38"/>
      <c r="M118" s="38"/>
      <c r="N118" s="38"/>
      <c r="O118" s="38"/>
      <c r="P118" s="38"/>
      <c r="Q118" s="38"/>
      <c r="R118" s="38"/>
      <c r="S118" s="38"/>
    </row>
    <row r="119" spans="11:19" x14ac:dyDescent="0.25">
      <c r="K119" s="38" t="s">
        <v>49</v>
      </c>
      <c r="L119" s="38"/>
      <c r="M119" s="38"/>
      <c r="N119" s="38"/>
      <c r="O119" s="38"/>
      <c r="P119" s="38"/>
      <c r="Q119" s="38"/>
      <c r="R119" s="38"/>
      <c r="S119" s="38"/>
    </row>
    <row r="120" spans="11:19" x14ac:dyDescent="0.25">
      <c r="K120" s="38" t="s">
        <v>48</v>
      </c>
      <c r="L120" s="38"/>
      <c r="M120" s="38"/>
      <c r="N120" s="38"/>
      <c r="O120" s="38"/>
      <c r="P120" s="38"/>
      <c r="Q120" s="38"/>
      <c r="R120" s="38"/>
      <c r="S120" s="38"/>
    </row>
    <row r="121" spans="11:19" x14ac:dyDescent="0.25">
      <c r="K121" s="39">
        <v>200</v>
      </c>
      <c r="L121" s="38"/>
      <c r="M121" s="38"/>
      <c r="N121" s="38"/>
      <c r="O121" s="38"/>
      <c r="P121" s="38"/>
      <c r="Q121" s="38"/>
      <c r="R121" s="38"/>
      <c r="S121" s="38"/>
    </row>
    <row r="122" spans="11:19" x14ac:dyDescent="0.25">
      <c r="K122" s="39">
        <v>24535.25</v>
      </c>
      <c r="L122" s="38"/>
      <c r="M122" s="38"/>
      <c r="N122" s="38"/>
      <c r="O122" s="38"/>
      <c r="P122" s="38"/>
      <c r="Q122" s="38"/>
      <c r="R122" s="38"/>
      <c r="S122" s="38"/>
    </row>
    <row r="123" spans="11:19" x14ac:dyDescent="0.25">
      <c r="K123" s="40">
        <v>45236</v>
      </c>
      <c r="L123" s="38"/>
      <c r="M123" s="38"/>
      <c r="N123" s="38"/>
      <c r="O123" s="38"/>
      <c r="P123" s="38"/>
      <c r="Q123" s="38"/>
      <c r="R123" s="38"/>
      <c r="S123" s="38"/>
    </row>
    <row r="124" spans="11:19" x14ac:dyDescent="0.25">
      <c r="K124" s="38" t="s">
        <v>39</v>
      </c>
      <c r="L124" s="38"/>
      <c r="M124" s="38"/>
      <c r="N124" s="38"/>
      <c r="O124" s="38"/>
      <c r="P124" s="38"/>
      <c r="Q124" s="38"/>
      <c r="R124" s="38"/>
      <c r="S124" s="38"/>
    </row>
    <row r="125" spans="11:19" x14ac:dyDescent="0.25">
      <c r="K125" s="38" t="s">
        <v>47</v>
      </c>
      <c r="L125" s="38"/>
      <c r="M125" s="38"/>
      <c r="N125" s="38"/>
      <c r="O125" s="38"/>
      <c r="P125" s="38"/>
      <c r="Q125" s="38"/>
      <c r="R125" s="38"/>
      <c r="S125" s="38"/>
    </row>
    <row r="126" spans="11:19" x14ac:dyDescent="0.25">
      <c r="K126" s="38" t="s">
        <v>46</v>
      </c>
      <c r="L126" s="38"/>
      <c r="M126" s="38"/>
      <c r="N126" s="38"/>
      <c r="O126" s="38"/>
      <c r="P126" s="38"/>
      <c r="Q126" s="38"/>
      <c r="R126" s="38"/>
      <c r="S126" s="38"/>
    </row>
    <row r="127" spans="11:19" x14ac:dyDescent="0.25">
      <c r="K127" s="39">
        <v>200</v>
      </c>
      <c r="L127" s="38"/>
      <c r="M127" s="38"/>
      <c r="N127" s="38"/>
      <c r="O127" s="38"/>
      <c r="P127" s="38"/>
      <c r="Q127" s="38"/>
      <c r="R127" s="38"/>
      <c r="S127" s="38"/>
    </row>
    <row r="128" spans="11:19" x14ac:dyDescent="0.25">
      <c r="K128" s="39">
        <v>24735.25</v>
      </c>
      <c r="L128" s="38"/>
      <c r="M128" s="38"/>
      <c r="N128" s="38"/>
      <c r="O128" s="38"/>
      <c r="P128" s="38"/>
      <c r="Q128" s="38"/>
      <c r="R128" s="38"/>
      <c r="S128" s="38"/>
    </row>
    <row r="129" spans="11:19" x14ac:dyDescent="0.25">
      <c r="K129" s="40">
        <v>45236</v>
      </c>
      <c r="L129" s="38"/>
      <c r="M129" s="38"/>
      <c r="N129" s="38"/>
      <c r="O129" s="38"/>
      <c r="P129" s="38"/>
      <c r="Q129" s="38"/>
      <c r="R129" s="38"/>
      <c r="S129" s="38"/>
    </row>
    <row r="130" spans="11:19" x14ac:dyDescent="0.25">
      <c r="K130" s="38" t="s">
        <v>39</v>
      </c>
      <c r="L130" s="38"/>
      <c r="M130" s="38"/>
      <c r="N130" s="38"/>
      <c r="O130" s="38"/>
      <c r="P130" s="38"/>
      <c r="Q130" s="38"/>
      <c r="R130" s="38"/>
      <c r="S130" s="38"/>
    </row>
    <row r="131" spans="11:19" x14ac:dyDescent="0.25">
      <c r="K131" s="38" t="s">
        <v>45</v>
      </c>
      <c r="L131" s="38"/>
      <c r="M131" s="38"/>
      <c r="N131" s="38"/>
      <c r="O131" s="38"/>
      <c r="P131" s="38"/>
      <c r="Q131" s="38"/>
      <c r="R131" s="38"/>
      <c r="S131" s="38"/>
    </row>
    <row r="132" spans="11:19" x14ac:dyDescent="0.25">
      <c r="K132" s="38" t="s">
        <v>44</v>
      </c>
      <c r="L132" s="38"/>
      <c r="M132" s="38"/>
      <c r="N132" s="38"/>
      <c r="O132" s="38"/>
      <c r="P132" s="38"/>
      <c r="Q132" s="38"/>
      <c r="R132" s="38"/>
      <c r="S132" s="38"/>
    </row>
    <row r="133" spans="11:19" x14ac:dyDescent="0.25">
      <c r="K133" s="39">
        <v>200</v>
      </c>
      <c r="L133" s="38"/>
      <c r="M133" s="38"/>
      <c r="N133" s="38"/>
      <c r="O133" s="38"/>
      <c r="P133" s="38"/>
      <c r="Q133" s="38"/>
      <c r="R133" s="38"/>
      <c r="S133" s="38"/>
    </row>
    <row r="134" spans="11:19" x14ac:dyDescent="0.25">
      <c r="K134" s="39">
        <v>24935.25</v>
      </c>
      <c r="L134" s="38"/>
      <c r="M134" s="38"/>
      <c r="N134" s="38"/>
      <c r="O134" s="38"/>
      <c r="P134" s="38"/>
      <c r="Q134" s="38"/>
      <c r="R134" s="38"/>
      <c r="S134" s="38"/>
    </row>
    <row r="135" spans="11:19" x14ac:dyDescent="0.25">
      <c r="K135" s="40">
        <v>45233</v>
      </c>
      <c r="L135" s="38"/>
      <c r="M135" s="38"/>
      <c r="N135" s="38"/>
      <c r="O135" s="38"/>
      <c r="P135" s="38"/>
      <c r="Q135" s="38"/>
      <c r="R135" s="38"/>
      <c r="S135" s="38"/>
    </row>
    <row r="136" spans="11:19" x14ac:dyDescent="0.25">
      <c r="K136" s="38" t="s">
        <v>39</v>
      </c>
      <c r="L136" s="38"/>
      <c r="M136" s="38"/>
      <c r="N136" s="38"/>
      <c r="O136" s="38"/>
      <c r="P136" s="38"/>
      <c r="Q136" s="38"/>
      <c r="R136" s="38"/>
      <c r="S136" s="38"/>
    </row>
    <row r="137" spans="11:19" x14ac:dyDescent="0.25">
      <c r="K137" s="38" t="s">
        <v>43</v>
      </c>
      <c r="L137" s="38"/>
      <c r="M137" s="38"/>
      <c r="N137" s="38"/>
      <c r="O137" s="38"/>
      <c r="P137" s="38"/>
      <c r="Q137" s="38"/>
      <c r="R137" s="38"/>
      <c r="S137" s="38"/>
    </row>
    <row r="138" spans="11:19" x14ac:dyDescent="0.25">
      <c r="K138" s="41" t="s">
        <v>42</v>
      </c>
      <c r="L138" s="38"/>
      <c r="M138" s="38"/>
      <c r="N138" s="38"/>
      <c r="O138" s="38"/>
      <c r="P138" s="38"/>
      <c r="Q138" s="38"/>
      <c r="R138" s="38"/>
      <c r="S138" s="38"/>
    </row>
    <row r="139" spans="11:19" x14ac:dyDescent="0.25">
      <c r="K139" s="39">
        <v>200</v>
      </c>
      <c r="L139" s="38"/>
      <c r="M139" s="38"/>
      <c r="N139" s="38"/>
      <c r="O139" s="38"/>
      <c r="P139" s="38"/>
      <c r="Q139" s="38"/>
      <c r="R139" s="38"/>
      <c r="S139" s="38"/>
    </row>
    <row r="140" spans="11:19" x14ac:dyDescent="0.25">
      <c r="K140" s="39">
        <v>25135.25</v>
      </c>
      <c r="L140" s="38"/>
      <c r="M140" s="38"/>
      <c r="N140" s="38"/>
      <c r="O140" s="38"/>
      <c r="P140" s="38"/>
      <c r="Q140" s="38"/>
      <c r="R140" s="38"/>
      <c r="S140" s="38"/>
    </row>
    <row r="141" spans="11:19" x14ac:dyDescent="0.25">
      <c r="K141" s="40">
        <v>45233</v>
      </c>
      <c r="L141" s="38"/>
      <c r="M141" s="38"/>
      <c r="N141" s="38"/>
      <c r="O141" s="38"/>
      <c r="P141" s="38"/>
      <c r="Q141" s="38"/>
      <c r="R141" s="38"/>
      <c r="S141" s="38"/>
    </row>
    <row r="142" spans="11:19" x14ac:dyDescent="0.25">
      <c r="K142" s="38" t="s">
        <v>39</v>
      </c>
      <c r="L142" s="38"/>
      <c r="M142" s="38"/>
      <c r="N142" s="38"/>
      <c r="O142" s="38"/>
      <c r="P142" s="38"/>
      <c r="Q142" s="38"/>
      <c r="R142" s="38"/>
      <c r="S142" s="38"/>
    </row>
    <row r="143" spans="11:19" x14ac:dyDescent="0.25">
      <c r="K143" s="38" t="s">
        <v>41</v>
      </c>
      <c r="L143" s="38"/>
      <c r="M143" s="38"/>
      <c r="N143" s="38"/>
      <c r="O143" s="38"/>
      <c r="P143" s="38"/>
      <c r="Q143" s="38"/>
      <c r="R143" s="38"/>
      <c r="S143" s="38"/>
    </row>
    <row r="144" spans="11:19" x14ac:dyDescent="0.25">
      <c r="K144" s="38" t="s">
        <v>40</v>
      </c>
      <c r="L144" s="38"/>
      <c r="M144" s="38"/>
      <c r="N144" s="38"/>
      <c r="O144" s="38"/>
      <c r="P144" s="38"/>
      <c r="Q144" s="38"/>
      <c r="R144" s="38"/>
      <c r="S144" s="38"/>
    </row>
    <row r="145" spans="11:19" x14ac:dyDescent="0.25">
      <c r="K145" s="39">
        <v>100</v>
      </c>
      <c r="L145" s="38"/>
      <c r="M145" s="38"/>
      <c r="N145" s="38"/>
      <c r="O145" s="38"/>
      <c r="P145" s="38"/>
      <c r="Q145" s="38"/>
      <c r="R145" s="38"/>
      <c r="S145" s="38"/>
    </row>
    <row r="146" spans="11:19" x14ac:dyDescent="0.25">
      <c r="K146" s="39">
        <v>25335.25</v>
      </c>
      <c r="L146" s="38"/>
      <c r="M146" s="38"/>
      <c r="N146" s="38"/>
      <c r="O146" s="38"/>
      <c r="P146" s="38"/>
      <c r="Q146" s="38"/>
      <c r="R146" s="38"/>
      <c r="S146" s="38"/>
    </row>
    <row r="147" spans="11:19" x14ac:dyDescent="0.25">
      <c r="K147" s="40">
        <v>45231</v>
      </c>
      <c r="L147" s="38"/>
      <c r="M147" s="38"/>
      <c r="N147" s="38"/>
      <c r="O147" s="38"/>
      <c r="P147" s="38"/>
      <c r="Q147" s="38"/>
      <c r="R147" s="38"/>
      <c r="S147" s="38"/>
    </row>
    <row r="148" spans="11:19" x14ac:dyDescent="0.25">
      <c r="K148" s="38" t="s">
        <v>39</v>
      </c>
      <c r="L148" s="38"/>
      <c r="M148" s="38"/>
      <c r="N148" s="38"/>
      <c r="O148" s="38"/>
      <c r="P148" s="38"/>
      <c r="Q148" s="38"/>
      <c r="R148" s="38"/>
      <c r="S148" s="38"/>
    </row>
    <row r="149" spans="11:19" x14ac:dyDescent="0.25">
      <c r="K149" s="38" t="s">
        <v>38</v>
      </c>
      <c r="L149" s="38"/>
      <c r="M149" s="38"/>
      <c r="N149" s="38"/>
      <c r="O149" s="38"/>
      <c r="P149" s="38"/>
      <c r="Q149" s="38"/>
      <c r="R149" s="38"/>
      <c r="S149" s="38"/>
    </row>
    <row r="150" spans="11:19" x14ac:dyDescent="0.25">
      <c r="K150" s="38" t="s">
        <v>37</v>
      </c>
      <c r="L150" s="38"/>
      <c r="M150" s="38"/>
      <c r="N150" s="38"/>
      <c r="O150" s="38"/>
      <c r="P150" s="38"/>
      <c r="Q150" s="38"/>
      <c r="R150" s="38"/>
      <c r="S150" s="38"/>
    </row>
    <row r="151" spans="11:19" x14ac:dyDescent="0.25">
      <c r="K151" s="39">
        <v>20</v>
      </c>
      <c r="L151" s="38"/>
      <c r="M151" s="38"/>
      <c r="N151" s="38"/>
      <c r="O151" s="38"/>
      <c r="P151" s="38"/>
      <c r="Q151" s="38"/>
      <c r="R151" s="38"/>
      <c r="S151" s="38"/>
    </row>
    <row r="152" spans="11:19" x14ac:dyDescent="0.25">
      <c r="K152" s="39">
        <v>25435.25</v>
      </c>
      <c r="L152" s="38"/>
      <c r="M152" s="38"/>
      <c r="N152" s="38"/>
      <c r="O152" s="38"/>
      <c r="P152" s="38"/>
      <c r="Q152" s="38"/>
      <c r="R152" s="38"/>
      <c r="S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F5FD84-EF14-47E1-AC2B-EAEDAA125E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Guide</vt:lpstr>
      <vt:lpstr>Params</vt:lpstr>
      <vt:lpstr>dVaryingRowsPQ</vt:lpstr>
      <vt:lpstr>dVaryRowsMacro</vt:lpstr>
      <vt:lpstr>dVaryRowsExcel</vt:lpstr>
      <vt:lpstr>dSameRowsPQ</vt:lpstr>
      <vt:lpstr>dSameRowsMacro</vt:lpstr>
      <vt:lpstr>dSameRowsExcel</vt:lpstr>
      <vt:lpstr>afbGuide</vt:lpstr>
      <vt:lpstr>afbParams</vt:lpstr>
      <vt:lpstr>dSameRowsExcel!afbSheet</vt:lpstr>
      <vt:lpstr>dSameRowsMacro!afbSheet</vt:lpstr>
      <vt:lpstr>dSameRowsPQ!afbSheet</vt:lpstr>
      <vt:lpstr>dVaryingRowsPQ!afbSheet</vt:lpstr>
      <vt:lpstr>dVaryRowsExcel!afbSheet</vt:lpstr>
      <vt:lpstr>dVaryRowsMacro!afbSheet</vt:lpstr>
      <vt:lpstr>gAppDescription</vt:lpstr>
      <vt:lpstr>gCreator</vt:lpstr>
      <vt:lpstr>gProcedures</vt:lpstr>
      <vt:lpstr>gPurpose</vt:lpstr>
      <vt:lpstr>kAppFilePrefix</vt:lpstr>
      <vt:lpstr>kAppName</vt:lpstr>
      <vt:lpstr>kCrosscheckMsg</vt:lpstr>
      <vt:lpstr>kCrosscheckTolerance</vt:lpstr>
      <vt:lpstr>kNow</vt:lpstr>
      <vt:lpstr>kOrgName</vt:lpstr>
      <vt:lpstr>kVersion</vt:lpstr>
      <vt:lpstr>dSameRowsExcel!Print_Area</vt:lpstr>
      <vt:lpstr>dSameRowsMacro!Print_Area</vt:lpstr>
      <vt:lpstr>dSameRowsPQ!Print_Area</vt:lpstr>
      <vt:lpstr>dVaryingRowsPQ!Print_Area</vt:lpstr>
      <vt:lpstr>dVaryRowsExcel!Print_Area</vt:lpstr>
      <vt:lpstr>dVaryRowsMacro!Print_Area</vt:lpstr>
      <vt:lpstr>dSameRowsExcel!Print_Titles</vt:lpstr>
      <vt:lpstr>dSameRowsMacro!Print_Titles</vt:lpstr>
      <vt:lpstr>dSameRowsPQ!Print_Titles</vt:lpstr>
      <vt:lpstr>dVaryingRowsPQ!Print_Titles</vt:lpstr>
      <vt:lpstr>dVaryRowsExcel!Print_Titles</vt:lpstr>
      <vt:lpstr>dVaryRowsMacro!Print_Titles</vt:lpstr>
      <vt:lpstr>Guide!Print_Titles</vt:lpstr>
      <vt:lpstr>Params!Print_Titles</vt:lpstr>
      <vt:lpstr>dSameRowsExcel!ttSheet</vt:lpstr>
      <vt:lpstr>dSameRowsMacro!ttSheet</vt:lpstr>
      <vt:lpstr>dSameRowsPQ!ttSheet</vt:lpstr>
      <vt:lpstr>dVaryingRowsPQ!ttSheet</vt:lpstr>
      <vt:lpstr>dVaryRowsExcel!ttSheet</vt:lpstr>
      <vt:lpstr>dVaryRowsMacro!ttSheet</vt:lpstr>
      <vt:lpstr>Guide!ttSheet</vt:lpstr>
      <vt:lpstr>Params!ttSheet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Oulton</dc:creator>
  <cp:lastModifiedBy>Paul Oulton</cp:lastModifiedBy>
  <cp:lastPrinted>2005-10-20T08:44:37Z</cp:lastPrinted>
  <dcterms:created xsi:type="dcterms:W3CDTF">1997-09-04T02:48:07Z</dcterms:created>
  <dcterms:modified xsi:type="dcterms:W3CDTF">2024-02-09T03:14:01Z</dcterms:modified>
</cp:coreProperties>
</file>